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s0312-ppfss01\public\sdeleon\Dynamo\export_folder\"/>
    </mc:Choice>
  </mc:AlternateContent>
  <xr:revisionPtr revIDLastSave="0" documentId="13_ncr:1_{F6456A81-4066-4BCB-9B63-33C0CF11BFE7}" xr6:coauthVersionLast="43" xr6:coauthVersionMax="43" xr10:uidLastSave="{00000000-0000-0000-0000-000000000000}"/>
  <bookViews>
    <workbookView xWindow="-120" yWindow="-120" windowWidth="29040" windowHeight="15840" xr2:uid="{9F958B89-8B8F-4ED7-818A-EBEBDC1C9E00}"/>
  </bookViews>
  <sheets>
    <sheet name="column" sheetId="163" r:id="rId1"/>
    <sheet name="beam" sheetId="162" r:id="rId2"/>
    <sheet name="brace" sheetId="161" r:id="rId3"/>
    <sheet name="diaphragm" sheetId="160" r:id="rId4"/>
    <sheet name="lineLoad" sheetId="120" r:id="rId5"/>
    <sheet name="Execute" sheetId="1" r:id="rId6"/>
    <sheet name="test" sheetId="2" r:id="rId7"/>
    <sheet name="to-do" sheetId="3" r:id="rId8"/>
    <sheet name="Unresolved" sheetId="9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6" i="2" l="1"/>
  <c r="T16" i="2"/>
  <c r="U16" i="2"/>
  <c r="V16" i="2"/>
  <c r="W16" i="2"/>
  <c r="R16" i="2"/>
  <c r="L23" i="2"/>
  <c r="M27" i="2"/>
</calcChain>
</file>

<file path=xl/sharedStrings.xml><?xml version="1.0" encoding="utf-8"?>
<sst xmlns="http://schemas.openxmlformats.org/spreadsheetml/2006/main" count="213" uniqueCount="70">
  <si>
    <t>W12x30</t>
  </si>
  <si>
    <t>W24x104</t>
  </si>
  <si>
    <t>ID</t>
  </si>
  <si>
    <t>Section</t>
  </si>
  <si>
    <t>x_i</t>
  </si>
  <si>
    <t>y_i</t>
  </si>
  <si>
    <t>z_i</t>
  </si>
  <si>
    <t>x_j</t>
  </si>
  <si>
    <t>y_j</t>
  </si>
  <si>
    <t>z_j</t>
  </si>
  <si>
    <t>base_fix</t>
  </si>
  <si>
    <t>top_fix</t>
  </si>
  <si>
    <t>rot</t>
  </si>
  <si>
    <t>type</t>
  </si>
  <si>
    <t>i_release</t>
  </si>
  <si>
    <t>j_release</t>
  </si>
  <si>
    <t>system</t>
  </si>
  <si>
    <t>x_1</t>
  </si>
  <si>
    <t>y_1</t>
  </si>
  <si>
    <t>z_1</t>
  </si>
  <si>
    <t>x_2</t>
  </si>
  <si>
    <t>y_2</t>
  </si>
  <si>
    <t>z_2</t>
  </si>
  <si>
    <t>x_3</t>
  </si>
  <si>
    <t>y_3</t>
  </si>
  <si>
    <t>z_3</t>
  </si>
  <si>
    <t>x_4</t>
  </si>
  <si>
    <t>y_4</t>
  </si>
  <si>
    <t>z_4</t>
  </si>
  <si>
    <t>orient</t>
  </si>
  <si>
    <t>Export Excel information to ETABS</t>
  </si>
  <si>
    <t>Retrieve information from ETABS</t>
  </si>
  <si>
    <t>File location of existing ETABS template file:</t>
  </si>
  <si>
    <t>Initialize model:</t>
  </si>
  <si>
    <t>Import frames:</t>
  </si>
  <si>
    <t>Import diaphragm:</t>
  </si>
  <si>
    <t>Import loads:</t>
  </si>
  <si>
    <t>Status</t>
  </si>
  <si>
    <t>Analysis start:</t>
  </si>
  <si>
    <t>Analysis completion:</t>
  </si>
  <si>
    <t>Note:</t>
  </si>
  <si>
    <t>Existing ETABS file name:</t>
  </si>
  <si>
    <t>ex)      Z:\Dynamo_Scripts\export_folder\etabs</t>
  </si>
  <si>
    <t>ex)      test.EDB</t>
  </si>
  <si>
    <t>To DO list</t>
  </si>
  <si>
    <t>multiply all joint coordinates by 12 inside dynamo to get them to inches (instead of in etabs) then remove the *12 in etabs function argument</t>
  </si>
  <si>
    <t>Time</t>
  </si>
  <si>
    <t>add error handling before executing main function. Check that file path and name exist</t>
  </si>
  <si>
    <t>tally up all joints. Model merge. Record new total of joints. Report the amount of joints merged to the excel file</t>
  </si>
  <si>
    <t>12 braces,117 beams,24 columns</t>
  </si>
  <si>
    <t>3 diaphragms</t>
  </si>
  <si>
    <t>Issues that need to be corrected manually:</t>
  </si>
  <si>
    <t>Dynamo cannot export boundary conditions created with analytical model. So the boundary conditions (like a pinned column) must be manually created in ETABS</t>
  </si>
  <si>
    <t>Alternative: set the boundary condition of moment frame column to fixed.</t>
  </si>
  <si>
    <t>Case</t>
  </si>
  <si>
    <t>Fx (klf)</t>
  </si>
  <si>
    <t>Fy (klf)</t>
  </si>
  <si>
    <t>Fz (klf)</t>
  </si>
  <si>
    <t>Dead</t>
  </si>
  <si>
    <t>beam</t>
  </si>
  <si>
    <t>lineload</t>
  </si>
  <si>
    <t>24 line loads</t>
  </si>
  <si>
    <t>\\Us0312-ppfss01\public\sdeleon\Dynamo\export_folder\etabs</t>
  </si>
  <si>
    <t>rob.EDB</t>
  </si>
  <si>
    <t>W12X30</t>
  </si>
  <si>
    <t>W16X77</t>
  </si>
  <si>
    <t>20LH03</t>
  </si>
  <si>
    <t>W18X97</t>
  </si>
  <si>
    <t>Structural CIP Conc - 6in - Interior</t>
  </si>
  <si>
    <t>Steel Deck - 1.5in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</si>
</sst>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000000"/>
      <name val="Chiller"/>
      <family val="5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4B9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4" borderId="5" xfId="0" applyFont="1" applyFill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1" fillId="4" borderId="0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5" borderId="1" xfId="0" applyFill="1" applyBorder="1"/>
    <xf numFmtId="0" fontId="0" fillId="5" borderId="2" xfId="0" applyFill="1" applyBorder="1"/>
    <xf numFmtId="0" fontId="0" fillId="5" borderId="4" xfId="0" applyFill="1" applyBorder="1" applyAlignment="1">
      <alignment horizontal="center" vertical="center"/>
    </xf>
    <xf numFmtId="0" fontId="0" fillId="5" borderId="3" xfId="0" applyFill="1" applyBorder="1"/>
    <xf numFmtId="0" fontId="0" fillId="0" borderId="14" xfId="0" quotePrefix="1" applyBorder="1"/>
    <xf numFmtId="0" fontId="1" fillId="4" borderId="1" xfId="0" applyFont="1" applyFill="1" applyBorder="1" applyAlignment="1"/>
    <xf numFmtId="0" fontId="1" fillId="4" borderId="2" xfId="0" applyFont="1" applyFill="1" applyBorder="1" applyAlignment="1"/>
    <xf numFmtId="0" fontId="1" fillId="4" borderId="3" xfId="0" applyFont="1" applyFill="1" applyBorder="1" applyAlignment="1"/>
    <xf numFmtId="19" fontId="0" fillId="0" borderId="13" xfId="0" applyNumberFormat="1" applyBorder="1"/>
    <xf numFmtId="19" fontId="0" fillId="0" borderId="14" xfId="0" quotePrefix="1" applyNumberFormat="1" applyBorder="1"/>
    <xf numFmtId="0" fontId="1" fillId="6" borderId="0" xfId="0" applyFont="1" applyFill="1" applyBorder="1"/>
    <xf numFmtId="0" fontId="1" fillId="0" borderId="11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2" fillId="2" borderId="8" xfId="0" applyFont="1" applyFill="1" applyBorder="1"/>
    <xf numFmtId="0" fontId="0" fillId="2" borderId="0" xfId="0" applyFill="1" applyBorder="1"/>
    <xf numFmtId="0" fontId="2" fillId="3" borderId="8" xfId="0" applyFont="1" applyFill="1" applyBorder="1"/>
    <xf numFmtId="0" fontId="0" fillId="3" borderId="0" xfId="0" applyFill="1" applyBorder="1"/>
    <xf numFmtId="0" fontId="0" fillId="3" borderId="8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5" fillId="4" borderId="1" xfId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687F4"/>
      <color rgb="FF87B5DF"/>
      <color rgb="FF9DD0FB"/>
      <color rgb="FFC0E9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31</xdr:row>
          <xdr:rowOff>57150</xdr:rowOff>
        </xdr:from>
        <xdr:to>
          <xdr:col>4</xdr:col>
          <xdr:colOff>657225</xdr:colOff>
          <xdr:row>32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hiller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28</xdr:row>
          <xdr:rowOff>85725</xdr:rowOff>
        </xdr:from>
        <xdr:to>
          <xdr:col>13</xdr:col>
          <xdr:colOff>104775</xdr:colOff>
          <xdr:row>29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171450</xdr:rowOff>
        </xdr:from>
        <xdr:to>
          <xdr:col>12</xdr:col>
          <xdr:colOff>590550</xdr:colOff>
          <xdr:row>27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77562</xdr:colOff>
      <xdr:row>12</xdr:row>
      <xdr:rowOff>100693</xdr:rowOff>
    </xdr:from>
    <xdr:to>
      <xdr:col>1</xdr:col>
      <xdr:colOff>400050</xdr:colOff>
      <xdr:row>14</xdr:row>
      <xdr:rowOff>34119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34" t="9526" r="11099" b="7924"/>
        <a:stretch/>
      </xdr:blipFill>
      <xdr:spPr>
        <a:xfrm>
          <a:off x="725262" y="2386693"/>
          <a:ext cx="322488" cy="314426"/>
        </a:xfrm>
        <a:prstGeom prst="rect">
          <a:avLst/>
        </a:prstGeom>
      </xdr:spPr>
    </xdr:pic>
    <xdr:clientData/>
  </xdr:twoCellAnchor>
  <xdr:twoCellAnchor editAs="oneCell">
    <xdr:from>
      <xdr:col>8</xdr:col>
      <xdr:colOff>182880</xdr:colOff>
      <xdr:row>12</xdr:row>
      <xdr:rowOff>76200</xdr:rowOff>
    </xdr:from>
    <xdr:to>
      <xdr:col>8</xdr:col>
      <xdr:colOff>525780</xdr:colOff>
      <xdr:row>14</xdr:row>
      <xdr:rowOff>11430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0519" t="81523" r="36295" b="13418"/>
        <a:stretch/>
      </xdr:blipFill>
      <xdr:spPr>
        <a:xfrm>
          <a:off x="5242560" y="2362200"/>
          <a:ext cx="342900" cy="316230"/>
        </a:xfrm>
        <a:prstGeom prst="rect">
          <a:avLst/>
        </a:prstGeom>
      </xdr:spPr>
    </xdr:pic>
    <xdr:clientData/>
  </xdr:twoCellAnchor>
  <xdr:twoCellAnchor>
    <xdr:from>
      <xdr:col>3</xdr:col>
      <xdr:colOff>638175</xdr:colOff>
      <xdr:row>12</xdr:row>
      <xdr:rowOff>85726</xdr:rowOff>
    </xdr:from>
    <xdr:to>
      <xdr:col>8</xdr:col>
      <xdr:colOff>180975</xdr:colOff>
      <xdr:row>14</xdr:row>
      <xdr:rowOff>85726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581275" y="2371726"/>
          <a:ext cx="2657475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495300</xdr:colOff>
      <xdr:row>13</xdr:row>
      <xdr:rowOff>28575</xdr:rowOff>
    </xdr:from>
    <xdr:to>
      <xdr:col>2</xdr:col>
      <xdr:colOff>219075</xdr:colOff>
      <xdr:row>13</xdr:row>
      <xdr:rowOff>152400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43000" y="2505075"/>
          <a:ext cx="37147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367866</xdr:colOff>
      <xdr:row>3</xdr:row>
      <xdr:rowOff>52970</xdr:rowOff>
    </xdr:from>
    <xdr:to>
      <xdr:col>0</xdr:col>
      <xdr:colOff>583163</xdr:colOff>
      <xdr:row>4</xdr:row>
      <xdr:rowOff>84073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2001" t="10871" r="17989" b="10316"/>
        <a:stretch/>
      </xdr:blipFill>
      <xdr:spPr>
        <a:xfrm>
          <a:off x="367866" y="636133"/>
          <a:ext cx="215297" cy="2254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18</xdr:row>
          <xdr:rowOff>66675</xdr:rowOff>
        </xdr:from>
        <xdr:to>
          <xdr:col>13</xdr:col>
          <xdr:colOff>266700</xdr:colOff>
          <xdr:row>20</xdr:row>
          <xdr:rowOff>133350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247650</xdr:colOff>
      <xdr:row>12</xdr:row>
      <xdr:rowOff>57150</xdr:rowOff>
    </xdr:from>
    <xdr:to>
      <xdr:col>3</xdr:col>
      <xdr:colOff>590550</xdr:colOff>
      <xdr:row>14</xdr:row>
      <xdr:rowOff>104775</xdr:rowOff>
    </xdr:to>
    <xdr:sp macro="[0]!Button1_Clic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543050" y="2343150"/>
          <a:ext cx="99060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>
                  <a:lumMod val="95000"/>
                  <a:lumOff val="5000"/>
                </a:schemeClr>
              </a:solidFill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etabs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F1C30-8BA6-4B06-AAF1-C7BF379D98DC}">
  <dimension ref="A1:M13"/>
  <sheetViews>
    <sheetView tabSelected="1" workbookViewId="0"/>
  </sheetViews>
  <sheetFormatPr defaultRowHeight="15" x14ac:dyDescent="0.25"/>
  <sheetData>
    <row r="1" spans="1:13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16</v>
      </c>
    </row>
    <row r="2" spans="1:13" x14ac:dyDescent="0.25">
      <c r="A2">
        <v>319460</v>
      </c>
      <c r="B2" t="s">
        <v>67</v>
      </c>
      <c r="C2">
        <v>0</v>
      </c>
      <c r="D2">
        <v>-0.10299999999999999</v>
      </c>
      <c r="E2">
        <v>14</v>
      </c>
      <c r="F2">
        <v>0</v>
      </c>
      <c r="G2">
        <v>-0.10299999999999999</v>
      </c>
      <c r="H2">
        <v>0</v>
      </c>
      <c r="I2">
        <v>0</v>
      </c>
      <c r="J2">
        <v>0</v>
      </c>
      <c r="K2">
        <v>0</v>
      </c>
      <c r="L2">
        <v>1</v>
      </c>
    </row>
    <row r="3" spans="1:13" x14ac:dyDescent="0.25">
      <c r="A3">
        <v>319462</v>
      </c>
      <c r="B3" t="s">
        <v>67</v>
      </c>
      <c r="C3">
        <v>20</v>
      </c>
      <c r="D3">
        <v>-0.10299999999999999</v>
      </c>
      <c r="E3">
        <v>14</v>
      </c>
      <c r="F3">
        <v>20</v>
      </c>
      <c r="G3">
        <v>-0.10299999999999999</v>
      </c>
      <c r="H3">
        <v>0</v>
      </c>
      <c r="I3">
        <v>0</v>
      </c>
      <c r="J3">
        <v>0</v>
      </c>
      <c r="K3">
        <v>0</v>
      </c>
      <c r="L3">
        <v>1</v>
      </c>
    </row>
    <row r="4" spans="1:13" x14ac:dyDescent="0.25">
      <c r="A4">
        <v>319464</v>
      </c>
      <c r="B4" t="s">
        <v>67</v>
      </c>
      <c r="C4">
        <v>40</v>
      </c>
      <c r="D4">
        <v>-0.10299999999999999</v>
      </c>
      <c r="E4">
        <v>14</v>
      </c>
      <c r="F4">
        <v>40</v>
      </c>
      <c r="G4">
        <v>-0.10299999999999999</v>
      </c>
      <c r="H4">
        <v>0</v>
      </c>
      <c r="I4">
        <v>0</v>
      </c>
      <c r="J4">
        <v>0</v>
      </c>
      <c r="K4">
        <v>0</v>
      </c>
      <c r="L4">
        <v>1</v>
      </c>
    </row>
    <row r="5" spans="1:13" x14ac:dyDescent="0.25">
      <c r="A5">
        <v>319466</v>
      </c>
      <c r="B5" t="s">
        <v>67</v>
      </c>
      <c r="C5">
        <v>60</v>
      </c>
      <c r="D5">
        <v>-0.10299999999999999</v>
      </c>
      <c r="E5">
        <v>14</v>
      </c>
      <c r="F5">
        <v>60</v>
      </c>
      <c r="G5">
        <v>-0.10299999999999999</v>
      </c>
      <c r="H5">
        <v>0</v>
      </c>
      <c r="I5">
        <v>0</v>
      </c>
      <c r="J5">
        <v>0</v>
      </c>
      <c r="K5">
        <v>0</v>
      </c>
      <c r="L5">
        <v>1</v>
      </c>
    </row>
    <row r="6" spans="1:13" x14ac:dyDescent="0.25">
      <c r="A6">
        <v>327699</v>
      </c>
      <c r="B6" t="s">
        <v>67</v>
      </c>
      <c r="C6">
        <v>20</v>
      </c>
      <c r="D6">
        <v>45.396999999999998</v>
      </c>
      <c r="E6">
        <v>14</v>
      </c>
      <c r="F6">
        <v>20</v>
      </c>
      <c r="G6">
        <v>45.396999999999998</v>
      </c>
      <c r="H6">
        <v>0</v>
      </c>
      <c r="I6">
        <v>0</v>
      </c>
      <c r="J6">
        <v>0</v>
      </c>
      <c r="K6">
        <v>90</v>
      </c>
      <c r="L6">
        <v>1</v>
      </c>
    </row>
    <row r="7" spans="1:13" x14ac:dyDescent="0.25">
      <c r="A7">
        <v>327702</v>
      </c>
      <c r="B7" t="s">
        <v>67</v>
      </c>
      <c r="C7">
        <v>20</v>
      </c>
      <c r="D7">
        <v>35.314</v>
      </c>
      <c r="E7">
        <v>14</v>
      </c>
      <c r="F7">
        <v>20</v>
      </c>
      <c r="G7">
        <v>35.314</v>
      </c>
      <c r="H7">
        <v>0</v>
      </c>
      <c r="I7">
        <v>0</v>
      </c>
      <c r="J7">
        <v>0</v>
      </c>
      <c r="K7">
        <v>90</v>
      </c>
      <c r="L7">
        <v>1</v>
      </c>
    </row>
    <row r="8" spans="1:13" x14ac:dyDescent="0.25">
      <c r="A8">
        <v>327704</v>
      </c>
      <c r="B8" t="s">
        <v>67</v>
      </c>
      <c r="C8">
        <v>40</v>
      </c>
      <c r="D8">
        <v>45.396999999999998</v>
      </c>
      <c r="E8">
        <v>14</v>
      </c>
      <c r="F8">
        <v>40</v>
      </c>
      <c r="G8">
        <v>45.396999999999998</v>
      </c>
      <c r="H8">
        <v>0</v>
      </c>
      <c r="I8">
        <v>0</v>
      </c>
      <c r="J8">
        <v>0</v>
      </c>
      <c r="K8">
        <v>90</v>
      </c>
      <c r="L8">
        <v>1</v>
      </c>
    </row>
    <row r="9" spans="1:13" x14ac:dyDescent="0.25">
      <c r="A9">
        <v>327706</v>
      </c>
      <c r="B9" t="s">
        <v>67</v>
      </c>
      <c r="C9">
        <v>40</v>
      </c>
      <c r="D9">
        <v>35.314</v>
      </c>
      <c r="E9">
        <v>14</v>
      </c>
      <c r="F9">
        <v>40</v>
      </c>
      <c r="G9">
        <v>35.314</v>
      </c>
      <c r="H9">
        <v>0</v>
      </c>
      <c r="I9">
        <v>0</v>
      </c>
      <c r="J9">
        <v>0</v>
      </c>
      <c r="K9">
        <v>90</v>
      </c>
      <c r="L9">
        <v>1</v>
      </c>
    </row>
    <row r="10" spans="1:13" x14ac:dyDescent="0.25">
      <c r="A10">
        <v>327969</v>
      </c>
      <c r="B10" t="s">
        <v>67</v>
      </c>
      <c r="C10">
        <v>20</v>
      </c>
      <c r="D10">
        <v>35.314</v>
      </c>
      <c r="E10">
        <v>28</v>
      </c>
      <c r="F10">
        <v>20</v>
      </c>
      <c r="G10">
        <v>35.314</v>
      </c>
      <c r="H10">
        <v>14</v>
      </c>
      <c r="I10">
        <v>0</v>
      </c>
      <c r="J10">
        <v>0</v>
      </c>
      <c r="K10">
        <v>90</v>
      </c>
      <c r="L10">
        <v>1</v>
      </c>
    </row>
    <row r="11" spans="1:13" x14ac:dyDescent="0.25">
      <c r="A11">
        <v>327971</v>
      </c>
      <c r="B11" t="s">
        <v>67</v>
      </c>
      <c r="C11">
        <v>20</v>
      </c>
      <c r="D11">
        <v>45.396999999999998</v>
      </c>
      <c r="E11">
        <v>28</v>
      </c>
      <c r="F11">
        <v>20</v>
      </c>
      <c r="G11">
        <v>45.396999999999998</v>
      </c>
      <c r="H11">
        <v>14</v>
      </c>
      <c r="I11">
        <v>0</v>
      </c>
      <c r="J11">
        <v>0</v>
      </c>
      <c r="K11">
        <v>90</v>
      </c>
      <c r="L11">
        <v>1</v>
      </c>
    </row>
    <row r="12" spans="1:13" x14ac:dyDescent="0.25">
      <c r="A12">
        <v>327973</v>
      </c>
      <c r="B12" t="s">
        <v>67</v>
      </c>
      <c r="C12">
        <v>40</v>
      </c>
      <c r="D12">
        <v>45.396999999999998</v>
      </c>
      <c r="E12">
        <v>28</v>
      </c>
      <c r="F12">
        <v>40</v>
      </c>
      <c r="G12">
        <v>45.396999999999998</v>
      </c>
      <c r="H12">
        <v>14</v>
      </c>
      <c r="I12">
        <v>0</v>
      </c>
      <c r="J12">
        <v>0</v>
      </c>
      <c r="K12">
        <v>90</v>
      </c>
      <c r="L12">
        <v>1</v>
      </c>
    </row>
    <row r="13" spans="1:13" x14ac:dyDescent="0.25">
      <c r="A13">
        <v>327975</v>
      </c>
      <c r="B13" t="s">
        <v>67</v>
      </c>
      <c r="C13">
        <v>40</v>
      </c>
      <c r="D13">
        <v>35.314</v>
      </c>
      <c r="E13">
        <v>28</v>
      </c>
      <c r="F13">
        <v>40</v>
      </c>
      <c r="G13">
        <v>35.314</v>
      </c>
      <c r="H13">
        <v>14</v>
      </c>
      <c r="I13">
        <v>0</v>
      </c>
      <c r="J13">
        <v>0</v>
      </c>
      <c r="K13">
        <v>90</v>
      </c>
      <c r="L1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82B1-930B-4E69-99D0-A244A55D1C9D}">
  <dimension ref="A1:L43"/>
  <sheetViews>
    <sheetView workbookViewId="0"/>
  </sheetViews>
  <sheetFormatPr defaultRowHeight="15" x14ac:dyDescent="0.25"/>
  <sheetData>
    <row r="1" spans="1:12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14</v>
      </c>
      <c r="J1" t="s">
        <v>15</v>
      </c>
      <c r="K1" t="s">
        <v>13</v>
      </c>
      <c r="L1" t="s">
        <v>16</v>
      </c>
    </row>
    <row r="2" spans="1:12" x14ac:dyDescent="0.25">
      <c r="A2">
        <v>322443</v>
      </c>
      <c r="B2" t="s">
        <v>65</v>
      </c>
      <c r="C2">
        <v>20</v>
      </c>
      <c r="D2">
        <v>24.814</v>
      </c>
      <c r="E2">
        <v>14</v>
      </c>
      <c r="F2">
        <v>20</v>
      </c>
      <c r="G2">
        <v>54.896999999999998</v>
      </c>
      <c r="H2">
        <v>14</v>
      </c>
      <c r="I2">
        <v>0</v>
      </c>
      <c r="J2">
        <v>0</v>
      </c>
      <c r="K2">
        <v>1</v>
      </c>
    </row>
    <row r="3" spans="1:12" x14ac:dyDescent="0.25">
      <c r="A3">
        <v>322531</v>
      </c>
      <c r="B3" t="s">
        <v>65</v>
      </c>
      <c r="C3">
        <v>40</v>
      </c>
      <c r="D3">
        <v>24.814</v>
      </c>
      <c r="E3">
        <v>14</v>
      </c>
      <c r="F3">
        <v>40</v>
      </c>
      <c r="G3">
        <v>54.896999999999998</v>
      </c>
      <c r="H3">
        <v>14</v>
      </c>
      <c r="I3">
        <v>0</v>
      </c>
      <c r="J3">
        <v>0</v>
      </c>
      <c r="K3">
        <v>1</v>
      </c>
    </row>
    <row r="4" spans="1:12" x14ac:dyDescent="0.25">
      <c r="A4">
        <v>322723</v>
      </c>
      <c r="B4" t="s">
        <v>65</v>
      </c>
      <c r="C4">
        <v>20</v>
      </c>
      <c r="D4">
        <v>-0.10299999999999999</v>
      </c>
      <c r="E4">
        <v>14</v>
      </c>
      <c r="F4">
        <v>0</v>
      </c>
      <c r="G4">
        <v>-0.10299999999999999</v>
      </c>
      <c r="H4">
        <v>14</v>
      </c>
      <c r="I4">
        <v>0</v>
      </c>
      <c r="J4">
        <v>0</v>
      </c>
      <c r="K4">
        <v>1</v>
      </c>
    </row>
    <row r="5" spans="1:12" x14ac:dyDescent="0.25">
      <c r="A5">
        <v>322771</v>
      </c>
      <c r="B5" t="s">
        <v>65</v>
      </c>
      <c r="C5">
        <v>40</v>
      </c>
      <c r="D5">
        <v>-0.10299999999999999</v>
      </c>
      <c r="E5">
        <v>14</v>
      </c>
      <c r="F5">
        <v>20</v>
      </c>
      <c r="G5">
        <v>-0.10299999999999999</v>
      </c>
      <c r="H5">
        <v>14</v>
      </c>
      <c r="I5">
        <v>0</v>
      </c>
      <c r="J5">
        <v>0</v>
      </c>
      <c r="K5">
        <v>1</v>
      </c>
    </row>
    <row r="6" spans="1:12" x14ac:dyDescent="0.25">
      <c r="A6">
        <v>322806</v>
      </c>
      <c r="B6" t="s">
        <v>65</v>
      </c>
      <c r="C6">
        <v>60</v>
      </c>
      <c r="D6">
        <v>-0.10299999999999999</v>
      </c>
      <c r="E6">
        <v>14</v>
      </c>
      <c r="F6">
        <v>40</v>
      </c>
      <c r="G6">
        <v>-0.10299999999999999</v>
      </c>
      <c r="H6">
        <v>14</v>
      </c>
      <c r="I6">
        <v>0</v>
      </c>
      <c r="J6">
        <v>0</v>
      </c>
      <c r="K6">
        <v>1</v>
      </c>
    </row>
    <row r="7" spans="1:12" x14ac:dyDescent="0.25">
      <c r="A7">
        <v>322833</v>
      </c>
      <c r="B7" t="s">
        <v>65</v>
      </c>
      <c r="C7">
        <v>0</v>
      </c>
      <c r="D7">
        <v>24.814</v>
      </c>
      <c r="E7">
        <v>14</v>
      </c>
      <c r="F7">
        <v>0</v>
      </c>
      <c r="G7">
        <v>-0.10299999999999999</v>
      </c>
      <c r="H7">
        <v>14</v>
      </c>
      <c r="I7">
        <v>0</v>
      </c>
      <c r="J7">
        <v>0</v>
      </c>
      <c r="K7">
        <v>1</v>
      </c>
    </row>
    <row r="8" spans="1:12" x14ac:dyDescent="0.25">
      <c r="A8">
        <v>322890</v>
      </c>
      <c r="B8" t="s">
        <v>65</v>
      </c>
      <c r="C8">
        <v>60</v>
      </c>
      <c r="D8">
        <v>24.814</v>
      </c>
      <c r="E8">
        <v>14</v>
      </c>
      <c r="F8">
        <v>60</v>
      </c>
      <c r="G8">
        <v>-0.10299999999999999</v>
      </c>
      <c r="H8">
        <v>14</v>
      </c>
      <c r="I8">
        <v>0</v>
      </c>
      <c r="J8">
        <v>0</v>
      </c>
      <c r="K8">
        <v>1</v>
      </c>
    </row>
    <row r="9" spans="1:12" x14ac:dyDescent="0.25">
      <c r="A9">
        <v>322982</v>
      </c>
      <c r="B9" t="s">
        <v>64</v>
      </c>
      <c r="C9">
        <v>20</v>
      </c>
      <c r="D9">
        <v>48.896999999999998</v>
      </c>
      <c r="E9">
        <v>14</v>
      </c>
      <c r="F9">
        <v>0</v>
      </c>
      <c r="G9">
        <v>48.896999999999998</v>
      </c>
      <c r="H9">
        <v>14</v>
      </c>
      <c r="I9">
        <v>0</v>
      </c>
      <c r="J9">
        <v>0</v>
      </c>
      <c r="K9">
        <v>1</v>
      </c>
    </row>
    <row r="10" spans="1:12" x14ac:dyDescent="0.25">
      <c r="A10">
        <v>322984</v>
      </c>
      <c r="B10" t="s">
        <v>64</v>
      </c>
      <c r="C10">
        <v>20</v>
      </c>
      <c r="D10">
        <v>42.896999999999998</v>
      </c>
      <c r="E10">
        <v>14</v>
      </c>
      <c r="F10">
        <v>0</v>
      </c>
      <c r="G10">
        <v>42.896999999999998</v>
      </c>
      <c r="H10">
        <v>14</v>
      </c>
      <c r="I10">
        <v>0</v>
      </c>
      <c r="J10">
        <v>0</v>
      </c>
      <c r="K10">
        <v>1</v>
      </c>
    </row>
    <row r="11" spans="1:12" x14ac:dyDescent="0.25">
      <c r="A11">
        <v>322986</v>
      </c>
      <c r="B11" t="s">
        <v>64</v>
      </c>
      <c r="C11">
        <v>20</v>
      </c>
      <c r="D11">
        <v>36.896999999999998</v>
      </c>
      <c r="E11">
        <v>14</v>
      </c>
      <c r="F11">
        <v>0</v>
      </c>
      <c r="G11">
        <v>36.896999999999998</v>
      </c>
      <c r="H11">
        <v>14</v>
      </c>
      <c r="I11">
        <v>0</v>
      </c>
      <c r="J11">
        <v>0</v>
      </c>
      <c r="K11">
        <v>1</v>
      </c>
    </row>
    <row r="12" spans="1:12" x14ac:dyDescent="0.25">
      <c r="A12">
        <v>322988</v>
      </c>
      <c r="B12" t="s">
        <v>64</v>
      </c>
      <c r="C12">
        <v>20</v>
      </c>
      <c r="D12">
        <v>30.896999999999998</v>
      </c>
      <c r="E12">
        <v>14</v>
      </c>
      <c r="F12">
        <v>0</v>
      </c>
      <c r="G12">
        <v>30.896999999999998</v>
      </c>
      <c r="H12">
        <v>14</v>
      </c>
      <c r="I12">
        <v>0</v>
      </c>
      <c r="J12">
        <v>0</v>
      </c>
      <c r="K12">
        <v>1</v>
      </c>
    </row>
    <row r="13" spans="1:12" x14ac:dyDescent="0.25">
      <c r="A13">
        <v>323016</v>
      </c>
      <c r="B13" t="s">
        <v>64</v>
      </c>
      <c r="C13">
        <v>40</v>
      </c>
      <c r="D13">
        <v>48.896999999999998</v>
      </c>
      <c r="E13">
        <v>14</v>
      </c>
      <c r="F13">
        <v>20</v>
      </c>
      <c r="G13">
        <v>48.896999999999998</v>
      </c>
      <c r="H13">
        <v>14</v>
      </c>
      <c r="I13">
        <v>0</v>
      </c>
      <c r="J13">
        <v>0</v>
      </c>
      <c r="K13">
        <v>1</v>
      </c>
    </row>
    <row r="14" spans="1:12" x14ac:dyDescent="0.25">
      <c r="A14">
        <v>323018</v>
      </c>
      <c r="B14" t="s">
        <v>64</v>
      </c>
      <c r="C14">
        <v>40</v>
      </c>
      <c r="D14">
        <v>42.896999999999998</v>
      </c>
      <c r="E14">
        <v>14</v>
      </c>
      <c r="F14">
        <v>20</v>
      </c>
      <c r="G14">
        <v>42.896999999999998</v>
      </c>
      <c r="H14">
        <v>14</v>
      </c>
      <c r="I14">
        <v>0</v>
      </c>
      <c r="J14">
        <v>0</v>
      </c>
      <c r="K14">
        <v>1</v>
      </c>
    </row>
    <row r="15" spans="1:12" x14ac:dyDescent="0.25">
      <c r="A15">
        <v>323020</v>
      </c>
      <c r="B15" t="s">
        <v>64</v>
      </c>
      <c r="C15">
        <v>40</v>
      </c>
      <c r="D15">
        <v>36.896999999999998</v>
      </c>
      <c r="E15">
        <v>14</v>
      </c>
      <c r="F15">
        <v>20</v>
      </c>
      <c r="G15">
        <v>36.896999999999998</v>
      </c>
      <c r="H15">
        <v>14</v>
      </c>
      <c r="I15">
        <v>0</v>
      </c>
      <c r="J15">
        <v>0</v>
      </c>
      <c r="K15">
        <v>1</v>
      </c>
    </row>
    <row r="16" spans="1:12" x14ac:dyDescent="0.25">
      <c r="A16">
        <v>323022</v>
      </c>
      <c r="B16" t="s">
        <v>64</v>
      </c>
      <c r="C16">
        <v>40</v>
      </c>
      <c r="D16">
        <v>30.896999999999998</v>
      </c>
      <c r="E16">
        <v>14</v>
      </c>
      <c r="F16">
        <v>20</v>
      </c>
      <c r="G16">
        <v>30.896999999999998</v>
      </c>
      <c r="H16">
        <v>14</v>
      </c>
      <c r="I16">
        <v>0</v>
      </c>
      <c r="J16">
        <v>0</v>
      </c>
      <c r="K16">
        <v>1</v>
      </c>
    </row>
    <row r="17" spans="1:11" x14ac:dyDescent="0.25">
      <c r="A17">
        <v>323042</v>
      </c>
      <c r="B17" t="s">
        <v>64</v>
      </c>
      <c r="C17">
        <v>60</v>
      </c>
      <c r="D17">
        <v>48.896999999999998</v>
      </c>
      <c r="E17">
        <v>14</v>
      </c>
      <c r="F17">
        <v>40</v>
      </c>
      <c r="G17">
        <v>48.896999999999998</v>
      </c>
      <c r="H17">
        <v>14</v>
      </c>
      <c r="I17">
        <v>0</v>
      </c>
      <c r="J17">
        <v>0</v>
      </c>
      <c r="K17">
        <v>1</v>
      </c>
    </row>
    <row r="18" spans="1:11" x14ac:dyDescent="0.25">
      <c r="A18">
        <v>323044</v>
      </c>
      <c r="B18" t="s">
        <v>64</v>
      </c>
      <c r="C18">
        <v>60</v>
      </c>
      <c r="D18">
        <v>42.896999999999998</v>
      </c>
      <c r="E18">
        <v>14</v>
      </c>
      <c r="F18">
        <v>40</v>
      </c>
      <c r="G18">
        <v>42.896999999999998</v>
      </c>
      <c r="H18">
        <v>14</v>
      </c>
      <c r="I18">
        <v>0</v>
      </c>
      <c r="J18">
        <v>0</v>
      </c>
      <c r="K18">
        <v>1</v>
      </c>
    </row>
    <row r="19" spans="1:11" x14ac:dyDescent="0.25">
      <c r="A19">
        <v>323046</v>
      </c>
      <c r="B19" t="s">
        <v>64</v>
      </c>
      <c r="C19">
        <v>60</v>
      </c>
      <c r="D19">
        <v>36.896999999999998</v>
      </c>
      <c r="E19">
        <v>14</v>
      </c>
      <c r="F19">
        <v>40</v>
      </c>
      <c r="G19">
        <v>36.896999999999998</v>
      </c>
      <c r="H19">
        <v>14</v>
      </c>
      <c r="I19">
        <v>0</v>
      </c>
      <c r="J19">
        <v>0</v>
      </c>
      <c r="K19">
        <v>1</v>
      </c>
    </row>
    <row r="20" spans="1:11" x14ac:dyDescent="0.25">
      <c r="A20">
        <v>323048</v>
      </c>
      <c r="B20" t="s">
        <v>64</v>
      </c>
      <c r="C20">
        <v>60</v>
      </c>
      <c r="D20">
        <v>30.896999999999998</v>
      </c>
      <c r="E20">
        <v>14</v>
      </c>
      <c r="F20">
        <v>40</v>
      </c>
      <c r="G20">
        <v>30.896999999999998</v>
      </c>
      <c r="H20">
        <v>14</v>
      </c>
      <c r="I20">
        <v>0</v>
      </c>
      <c r="J20">
        <v>0</v>
      </c>
      <c r="K20">
        <v>1</v>
      </c>
    </row>
    <row r="21" spans="1:11" x14ac:dyDescent="0.25">
      <c r="A21">
        <v>326945</v>
      </c>
      <c r="B21" t="s">
        <v>66</v>
      </c>
      <c r="C21">
        <v>6</v>
      </c>
      <c r="D21">
        <v>24.814</v>
      </c>
      <c r="E21">
        <v>14</v>
      </c>
      <c r="F21">
        <v>6</v>
      </c>
      <c r="G21">
        <v>-0.10299999999999999</v>
      </c>
      <c r="H21">
        <v>14</v>
      </c>
      <c r="I21">
        <v>0</v>
      </c>
      <c r="J21">
        <v>0</v>
      </c>
      <c r="K21">
        <v>1</v>
      </c>
    </row>
    <row r="22" spans="1:11" x14ac:dyDescent="0.25">
      <c r="A22">
        <v>326947</v>
      </c>
      <c r="B22" t="s">
        <v>66</v>
      </c>
      <c r="C22">
        <v>12</v>
      </c>
      <c r="D22">
        <v>24.814</v>
      </c>
      <c r="E22">
        <v>14</v>
      </c>
      <c r="F22">
        <v>12</v>
      </c>
      <c r="G22">
        <v>-0.10299999999999999</v>
      </c>
      <c r="H22">
        <v>14</v>
      </c>
      <c r="I22">
        <v>0</v>
      </c>
      <c r="J22">
        <v>0</v>
      </c>
      <c r="K22">
        <v>1</v>
      </c>
    </row>
    <row r="23" spans="1:11" x14ac:dyDescent="0.25">
      <c r="A23">
        <v>326949</v>
      </c>
      <c r="B23" t="s">
        <v>66</v>
      </c>
      <c r="C23">
        <v>18</v>
      </c>
      <c r="D23">
        <v>24.814</v>
      </c>
      <c r="E23">
        <v>14</v>
      </c>
      <c r="F23">
        <v>18</v>
      </c>
      <c r="G23">
        <v>-0.10299999999999999</v>
      </c>
      <c r="H23">
        <v>14</v>
      </c>
      <c r="I23">
        <v>0</v>
      </c>
      <c r="J23">
        <v>0</v>
      </c>
      <c r="K23">
        <v>1</v>
      </c>
    </row>
    <row r="24" spans="1:11" x14ac:dyDescent="0.25">
      <c r="A24">
        <v>326951</v>
      </c>
      <c r="B24" t="s">
        <v>66</v>
      </c>
      <c r="C24">
        <v>24</v>
      </c>
      <c r="D24">
        <v>24.814</v>
      </c>
      <c r="E24">
        <v>14</v>
      </c>
      <c r="F24">
        <v>24</v>
      </c>
      <c r="G24">
        <v>-0.10299999999999999</v>
      </c>
      <c r="H24">
        <v>14</v>
      </c>
      <c r="I24">
        <v>0</v>
      </c>
      <c r="J24">
        <v>0</v>
      </c>
      <c r="K24">
        <v>1</v>
      </c>
    </row>
    <row r="25" spans="1:11" x14ac:dyDescent="0.25">
      <c r="A25">
        <v>326953</v>
      </c>
      <c r="B25" t="s">
        <v>66</v>
      </c>
      <c r="C25">
        <v>30</v>
      </c>
      <c r="D25">
        <v>24.814</v>
      </c>
      <c r="E25">
        <v>14</v>
      </c>
      <c r="F25">
        <v>30</v>
      </c>
      <c r="G25">
        <v>-0.10299999999999999</v>
      </c>
      <c r="H25">
        <v>14</v>
      </c>
      <c r="I25">
        <v>0</v>
      </c>
      <c r="J25">
        <v>0</v>
      </c>
      <c r="K25">
        <v>1</v>
      </c>
    </row>
    <row r="26" spans="1:11" x14ac:dyDescent="0.25">
      <c r="A26">
        <v>326955</v>
      </c>
      <c r="B26" t="s">
        <v>66</v>
      </c>
      <c r="C26">
        <v>36</v>
      </c>
      <c r="D26">
        <v>24.814</v>
      </c>
      <c r="E26">
        <v>14</v>
      </c>
      <c r="F26">
        <v>36</v>
      </c>
      <c r="G26">
        <v>-0.10299999999999999</v>
      </c>
      <c r="H26">
        <v>14</v>
      </c>
      <c r="I26">
        <v>0</v>
      </c>
      <c r="J26">
        <v>0</v>
      </c>
      <c r="K26">
        <v>1</v>
      </c>
    </row>
    <row r="27" spans="1:11" x14ac:dyDescent="0.25">
      <c r="A27">
        <v>326957</v>
      </c>
      <c r="B27" t="s">
        <v>66</v>
      </c>
      <c r="C27">
        <v>42</v>
      </c>
      <c r="D27">
        <v>24.814</v>
      </c>
      <c r="E27">
        <v>14</v>
      </c>
      <c r="F27">
        <v>42</v>
      </c>
      <c r="G27">
        <v>-0.10299999999999999</v>
      </c>
      <c r="H27">
        <v>14</v>
      </c>
      <c r="I27">
        <v>0</v>
      </c>
      <c r="J27">
        <v>0</v>
      </c>
      <c r="K27">
        <v>1</v>
      </c>
    </row>
    <row r="28" spans="1:11" x14ac:dyDescent="0.25">
      <c r="A28">
        <v>326959</v>
      </c>
      <c r="B28" t="s">
        <v>66</v>
      </c>
      <c r="C28">
        <v>48</v>
      </c>
      <c r="D28">
        <v>24.814</v>
      </c>
      <c r="E28">
        <v>14</v>
      </c>
      <c r="F28">
        <v>48</v>
      </c>
      <c r="G28">
        <v>-0.10299999999999999</v>
      </c>
      <c r="H28">
        <v>14</v>
      </c>
      <c r="I28">
        <v>0</v>
      </c>
      <c r="J28">
        <v>0</v>
      </c>
      <c r="K28">
        <v>1</v>
      </c>
    </row>
    <row r="29" spans="1:11" x14ac:dyDescent="0.25">
      <c r="A29">
        <v>326961</v>
      </c>
      <c r="B29" t="s">
        <v>66</v>
      </c>
      <c r="C29">
        <v>54</v>
      </c>
      <c r="D29">
        <v>24.814</v>
      </c>
      <c r="E29">
        <v>14</v>
      </c>
      <c r="F29">
        <v>54</v>
      </c>
      <c r="G29">
        <v>-0.10299999999999999</v>
      </c>
      <c r="H29">
        <v>14</v>
      </c>
      <c r="I29">
        <v>0</v>
      </c>
      <c r="J29">
        <v>0</v>
      </c>
      <c r="K29">
        <v>1</v>
      </c>
    </row>
    <row r="30" spans="1:11" x14ac:dyDescent="0.25">
      <c r="A30">
        <v>328344</v>
      </c>
      <c r="B30" t="s">
        <v>65</v>
      </c>
      <c r="C30">
        <v>20</v>
      </c>
      <c r="D30">
        <v>24.814</v>
      </c>
      <c r="E30">
        <v>28</v>
      </c>
      <c r="F30">
        <v>20</v>
      </c>
      <c r="G30">
        <v>54.896999999999998</v>
      </c>
      <c r="H30">
        <v>28</v>
      </c>
      <c r="I30">
        <v>0</v>
      </c>
      <c r="J30">
        <v>0</v>
      </c>
      <c r="K30">
        <v>1</v>
      </c>
    </row>
    <row r="31" spans="1:11" x14ac:dyDescent="0.25">
      <c r="A31">
        <v>328346</v>
      </c>
      <c r="B31" t="s">
        <v>65</v>
      </c>
      <c r="C31">
        <v>40</v>
      </c>
      <c r="D31">
        <v>24.814</v>
      </c>
      <c r="E31">
        <v>28</v>
      </c>
      <c r="F31">
        <v>40</v>
      </c>
      <c r="G31">
        <v>54.896999999999998</v>
      </c>
      <c r="H31">
        <v>28</v>
      </c>
      <c r="I31">
        <v>0</v>
      </c>
      <c r="J31">
        <v>0</v>
      </c>
      <c r="K31">
        <v>1</v>
      </c>
    </row>
    <row r="32" spans="1:11" x14ac:dyDescent="0.25">
      <c r="A32">
        <v>328355</v>
      </c>
      <c r="B32" t="s">
        <v>64</v>
      </c>
      <c r="C32">
        <v>20</v>
      </c>
      <c r="D32">
        <v>48.896999999999998</v>
      </c>
      <c r="E32">
        <v>28</v>
      </c>
      <c r="F32">
        <v>0</v>
      </c>
      <c r="G32">
        <v>48.896999999999998</v>
      </c>
      <c r="H32">
        <v>28</v>
      </c>
      <c r="I32">
        <v>0</v>
      </c>
      <c r="J32">
        <v>0</v>
      </c>
      <c r="K32">
        <v>1</v>
      </c>
    </row>
    <row r="33" spans="1:11" x14ac:dyDescent="0.25">
      <c r="A33">
        <v>328357</v>
      </c>
      <c r="B33" t="s">
        <v>64</v>
      </c>
      <c r="C33">
        <v>20</v>
      </c>
      <c r="D33">
        <v>42.896999999999998</v>
      </c>
      <c r="E33">
        <v>28</v>
      </c>
      <c r="F33">
        <v>0</v>
      </c>
      <c r="G33">
        <v>42.896999999999998</v>
      </c>
      <c r="H33">
        <v>28</v>
      </c>
      <c r="I33">
        <v>0</v>
      </c>
      <c r="J33">
        <v>0</v>
      </c>
      <c r="K33">
        <v>1</v>
      </c>
    </row>
    <row r="34" spans="1:11" x14ac:dyDescent="0.25">
      <c r="A34">
        <v>328359</v>
      </c>
      <c r="B34" t="s">
        <v>64</v>
      </c>
      <c r="C34">
        <v>20</v>
      </c>
      <c r="D34">
        <v>36.896999999999998</v>
      </c>
      <c r="E34">
        <v>28</v>
      </c>
      <c r="F34">
        <v>0</v>
      </c>
      <c r="G34">
        <v>36.896999999999998</v>
      </c>
      <c r="H34">
        <v>28</v>
      </c>
      <c r="I34">
        <v>0</v>
      </c>
      <c r="J34">
        <v>0</v>
      </c>
      <c r="K34">
        <v>1</v>
      </c>
    </row>
    <row r="35" spans="1:11" x14ac:dyDescent="0.25">
      <c r="A35">
        <v>328361</v>
      </c>
      <c r="B35" t="s">
        <v>64</v>
      </c>
      <c r="C35">
        <v>20</v>
      </c>
      <c r="D35">
        <v>30.896999999999998</v>
      </c>
      <c r="E35">
        <v>28</v>
      </c>
      <c r="F35">
        <v>0</v>
      </c>
      <c r="G35">
        <v>30.896999999999998</v>
      </c>
      <c r="H35">
        <v>28</v>
      </c>
      <c r="I35">
        <v>0</v>
      </c>
      <c r="J35">
        <v>0</v>
      </c>
      <c r="K35">
        <v>1</v>
      </c>
    </row>
    <row r="36" spans="1:11" x14ac:dyDescent="0.25">
      <c r="A36">
        <v>328370</v>
      </c>
      <c r="B36" t="s">
        <v>64</v>
      </c>
      <c r="C36">
        <v>40</v>
      </c>
      <c r="D36">
        <v>48.896999999999998</v>
      </c>
      <c r="E36">
        <v>28</v>
      </c>
      <c r="F36">
        <v>20</v>
      </c>
      <c r="G36">
        <v>48.896999999999998</v>
      </c>
      <c r="H36">
        <v>28</v>
      </c>
      <c r="I36">
        <v>0</v>
      </c>
      <c r="J36">
        <v>0</v>
      </c>
      <c r="K36">
        <v>1</v>
      </c>
    </row>
    <row r="37" spans="1:11" x14ac:dyDescent="0.25">
      <c r="A37">
        <v>328372</v>
      </c>
      <c r="B37" t="s">
        <v>64</v>
      </c>
      <c r="C37">
        <v>40</v>
      </c>
      <c r="D37">
        <v>42.896999999999998</v>
      </c>
      <c r="E37">
        <v>28</v>
      </c>
      <c r="F37">
        <v>20</v>
      </c>
      <c r="G37">
        <v>42.896999999999998</v>
      </c>
      <c r="H37">
        <v>28</v>
      </c>
      <c r="I37">
        <v>0</v>
      </c>
      <c r="J37">
        <v>0</v>
      </c>
      <c r="K37">
        <v>1</v>
      </c>
    </row>
    <row r="38" spans="1:11" x14ac:dyDescent="0.25">
      <c r="A38">
        <v>328374</v>
      </c>
      <c r="B38" t="s">
        <v>64</v>
      </c>
      <c r="C38">
        <v>40</v>
      </c>
      <c r="D38">
        <v>36.896999999999998</v>
      </c>
      <c r="E38">
        <v>28</v>
      </c>
      <c r="F38">
        <v>20</v>
      </c>
      <c r="G38">
        <v>36.896999999999998</v>
      </c>
      <c r="H38">
        <v>28</v>
      </c>
      <c r="I38">
        <v>0</v>
      </c>
      <c r="J38">
        <v>0</v>
      </c>
      <c r="K38">
        <v>1</v>
      </c>
    </row>
    <row r="39" spans="1:11" x14ac:dyDescent="0.25">
      <c r="A39">
        <v>328376</v>
      </c>
      <c r="B39" t="s">
        <v>64</v>
      </c>
      <c r="C39">
        <v>40</v>
      </c>
      <c r="D39">
        <v>30.896999999999998</v>
      </c>
      <c r="E39">
        <v>28</v>
      </c>
      <c r="F39">
        <v>20</v>
      </c>
      <c r="G39">
        <v>30.896999999999998</v>
      </c>
      <c r="H39">
        <v>28</v>
      </c>
      <c r="I39">
        <v>0</v>
      </c>
      <c r="J39">
        <v>0</v>
      </c>
      <c r="K39">
        <v>1</v>
      </c>
    </row>
    <row r="40" spans="1:11" x14ac:dyDescent="0.25">
      <c r="A40">
        <v>328385</v>
      </c>
      <c r="B40" t="s">
        <v>64</v>
      </c>
      <c r="C40">
        <v>60</v>
      </c>
      <c r="D40">
        <v>48.896999999999998</v>
      </c>
      <c r="E40">
        <v>28</v>
      </c>
      <c r="F40">
        <v>40</v>
      </c>
      <c r="G40">
        <v>48.896999999999998</v>
      </c>
      <c r="H40">
        <v>28</v>
      </c>
      <c r="I40">
        <v>0</v>
      </c>
      <c r="J40">
        <v>0</v>
      </c>
      <c r="K40">
        <v>1</v>
      </c>
    </row>
    <row r="41" spans="1:11" x14ac:dyDescent="0.25">
      <c r="A41">
        <v>328387</v>
      </c>
      <c r="B41" t="s">
        <v>64</v>
      </c>
      <c r="C41">
        <v>60</v>
      </c>
      <c r="D41">
        <v>42.896999999999998</v>
      </c>
      <c r="E41">
        <v>28</v>
      </c>
      <c r="F41">
        <v>40</v>
      </c>
      <c r="G41">
        <v>42.896999999999998</v>
      </c>
      <c r="H41">
        <v>28</v>
      </c>
      <c r="I41">
        <v>0</v>
      </c>
      <c r="J41">
        <v>0</v>
      </c>
      <c r="K41">
        <v>1</v>
      </c>
    </row>
    <row r="42" spans="1:11" x14ac:dyDescent="0.25">
      <c r="A42">
        <v>328389</v>
      </c>
      <c r="B42" t="s">
        <v>64</v>
      </c>
      <c r="C42">
        <v>60</v>
      </c>
      <c r="D42">
        <v>36.896999999999998</v>
      </c>
      <c r="E42">
        <v>28</v>
      </c>
      <c r="F42">
        <v>40</v>
      </c>
      <c r="G42">
        <v>36.896999999999998</v>
      </c>
      <c r="H42">
        <v>28</v>
      </c>
      <c r="I42">
        <v>0</v>
      </c>
      <c r="J42">
        <v>0</v>
      </c>
      <c r="K42">
        <v>1</v>
      </c>
    </row>
    <row r="43" spans="1:11" x14ac:dyDescent="0.25">
      <c r="A43">
        <v>328391</v>
      </c>
      <c r="B43" t="s">
        <v>64</v>
      </c>
      <c r="C43">
        <v>60</v>
      </c>
      <c r="D43">
        <v>30.896999999999998</v>
      </c>
      <c r="E43">
        <v>28</v>
      </c>
      <c r="F43">
        <v>40</v>
      </c>
      <c r="G43">
        <v>30.896999999999998</v>
      </c>
      <c r="H43">
        <v>28</v>
      </c>
      <c r="I43">
        <v>0</v>
      </c>
      <c r="J43">
        <v>0</v>
      </c>
      <c r="K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B0FB2-2E86-4D6D-A59D-BF563B6F6047}">
  <dimension ref="A1:K9"/>
  <sheetViews>
    <sheetView workbookViewId="0"/>
  </sheetViews>
  <sheetFormatPr defaultRowHeight="15" x14ac:dyDescent="0.25"/>
  <sheetData>
    <row r="1" spans="1:11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14</v>
      </c>
      <c r="J1" t="s">
        <v>15</v>
      </c>
      <c r="K1" t="s">
        <v>16</v>
      </c>
    </row>
    <row r="2" spans="1:11" x14ac:dyDescent="0.25">
      <c r="A2">
        <v>328033</v>
      </c>
      <c r="B2" t="s">
        <v>64</v>
      </c>
      <c r="C2">
        <v>20</v>
      </c>
      <c r="D2">
        <v>35.314</v>
      </c>
      <c r="E2">
        <v>28</v>
      </c>
      <c r="F2">
        <v>20</v>
      </c>
      <c r="G2">
        <v>45.396999999999998</v>
      </c>
      <c r="H2">
        <v>14</v>
      </c>
      <c r="I2">
        <v>3</v>
      </c>
      <c r="J2">
        <v>1</v>
      </c>
    </row>
    <row r="3" spans="1:11" x14ac:dyDescent="0.25">
      <c r="A3">
        <v>328069</v>
      </c>
      <c r="B3" t="s">
        <v>64</v>
      </c>
      <c r="C3">
        <v>20</v>
      </c>
      <c r="D3">
        <v>45.396999999999998</v>
      </c>
      <c r="E3">
        <v>28</v>
      </c>
      <c r="F3">
        <v>20</v>
      </c>
      <c r="G3">
        <v>35.314</v>
      </c>
      <c r="H3">
        <v>14</v>
      </c>
      <c r="I3">
        <v>3</v>
      </c>
      <c r="J3">
        <v>1</v>
      </c>
    </row>
    <row r="4" spans="1:11" x14ac:dyDescent="0.25">
      <c r="A4">
        <v>328116</v>
      </c>
      <c r="B4" t="s">
        <v>64</v>
      </c>
      <c r="C4">
        <v>40</v>
      </c>
      <c r="D4">
        <v>35.314</v>
      </c>
      <c r="E4">
        <v>28</v>
      </c>
      <c r="F4">
        <v>40</v>
      </c>
      <c r="G4">
        <v>45.396999999999998</v>
      </c>
      <c r="H4">
        <v>14</v>
      </c>
      <c r="I4">
        <v>3</v>
      </c>
      <c r="J4">
        <v>1</v>
      </c>
    </row>
    <row r="5" spans="1:11" x14ac:dyDescent="0.25">
      <c r="A5">
        <v>328165</v>
      </c>
      <c r="B5" t="s">
        <v>64</v>
      </c>
      <c r="C5">
        <v>40</v>
      </c>
      <c r="D5">
        <v>45.396999999999998</v>
      </c>
      <c r="E5">
        <v>28</v>
      </c>
      <c r="F5">
        <v>40</v>
      </c>
      <c r="G5">
        <v>35.314</v>
      </c>
      <c r="H5">
        <v>14</v>
      </c>
      <c r="I5">
        <v>3</v>
      </c>
      <c r="J5">
        <v>1</v>
      </c>
    </row>
    <row r="6" spans="1:11" x14ac:dyDescent="0.25">
      <c r="A6">
        <v>328225</v>
      </c>
      <c r="B6" t="s">
        <v>64</v>
      </c>
      <c r="C6">
        <v>20</v>
      </c>
      <c r="D6">
        <v>35.314</v>
      </c>
      <c r="E6">
        <v>14</v>
      </c>
      <c r="F6">
        <v>20</v>
      </c>
      <c r="G6">
        <v>45.396999999999998</v>
      </c>
      <c r="H6">
        <v>0</v>
      </c>
      <c r="I6">
        <v>3</v>
      </c>
      <c r="J6">
        <v>1</v>
      </c>
    </row>
    <row r="7" spans="1:11" x14ac:dyDescent="0.25">
      <c r="A7">
        <v>328246</v>
      </c>
      <c r="B7" t="s">
        <v>64</v>
      </c>
      <c r="C7">
        <v>20</v>
      </c>
      <c r="D7">
        <v>45.396999999999998</v>
      </c>
      <c r="E7">
        <v>14</v>
      </c>
      <c r="F7">
        <v>20</v>
      </c>
      <c r="G7">
        <v>35.314</v>
      </c>
      <c r="H7">
        <v>0</v>
      </c>
      <c r="I7">
        <v>3</v>
      </c>
      <c r="J7">
        <v>1</v>
      </c>
    </row>
    <row r="8" spans="1:11" x14ac:dyDescent="0.25">
      <c r="A8">
        <v>328278</v>
      </c>
      <c r="B8" t="s">
        <v>64</v>
      </c>
      <c r="C8">
        <v>40</v>
      </c>
      <c r="D8">
        <v>35.314</v>
      </c>
      <c r="E8">
        <v>14</v>
      </c>
      <c r="F8">
        <v>40</v>
      </c>
      <c r="G8">
        <v>45.396999999999998</v>
      </c>
      <c r="H8">
        <v>0</v>
      </c>
      <c r="I8">
        <v>3</v>
      </c>
      <c r="J8">
        <v>1</v>
      </c>
    </row>
    <row r="9" spans="1:11" x14ac:dyDescent="0.25">
      <c r="A9">
        <v>328315</v>
      </c>
      <c r="B9" t="s">
        <v>64</v>
      </c>
      <c r="C9">
        <v>40</v>
      </c>
      <c r="D9">
        <v>45.396999999999998</v>
      </c>
      <c r="E9">
        <v>14</v>
      </c>
      <c r="F9">
        <v>40</v>
      </c>
      <c r="G9">
        <v>35.314</v>
      </c>
      <c r="H9">
        <v>0</v>
      </c>
      <c r="I9">
        <v>3</v>
      </c>
      <c r="J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E8DC-B139-4C05-BF35-44544DE01645}">
  <dimension ref="A1:AF4"/>
  <sheetViews>
    <sheetView workbookViewId="0"/>
  </sheetViews>
  <sheetFormatPr defaultRowHeight="15" x14ac:dyDescent="0.25"/>
  <sheetData>
    <row r="1" spans="1:32" x14ac:dyDescent="0.25">
      <c r="A1" t="s">
        <v>2</v>
      </c>
      <c r="B1" t="s">
        <v>3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</row>
    <row r="2" spans="1:32" x14ac:dyDescent="0.25">
      <c r="A2">
        <v>328821</v>
      </c>
      <c r="B2" t="s">
        <v>68</v>
      </c>
      <c r="D2">
        <v>0</v>
      </c>
      <c r="E2">
        <v>0</v>
      </c>
      <c r="F2">
        <v>60</v>
      </c>
      <c r="G2">
        <v>0</v>
      </c>
      <c r="I2">
        <v>-0.10299999999999999</v>
      </c>
      <c r="J2">
        <v>54.896999999999998</v>
      </c>
      <c r="K2">
        <v>54.896999999999998</v>
      </c>
      <c r="L2">
        <v>24.814</v>
      </c>
      <c r="N2">
        <v>14</v>
      </c>
      <c r="O2">
        <v>14</v>
      </c>
      <c r="P2">
        <v>14</v>
      </c>
      <c r="Q2">
        <v>28</v>
      </c>
      <c r="S2">
        <v>60</v>
      </c>
      <c r="T2">
        <v>0</v>
      </c>
      <c r="U2">
        <v>0</v>
      </c>
      <c r="V2">
        <v>60</v>
      </c>
      <c r="X2">
        <v>-0.10299999999999999</v>
      </c>
      <c r="Y2">
        <v>24.814</v>
      </c>
      <c r="Z2">
        <v>54.896999999999998</v>
      </c>
      <c r="AA2">
        <v>24.814</v>
      </c>
      <c r="AC2">
        <v>14</v>
      </c>
      <c r="AD2">
        <v>14</v>
      </c>
      <c r="AE2">
        <v>14</v>
      </c>
      <c r="AF2">
        <v>28</v>
      </c>
    </row>
    <row r="3" spans="1:32" x14ac:dyDescent="0.25">
      <c r="A3">
        <v>328863</v>
      </c>
      <c r="B3" t="s">
        <v>68</v>
      </c>
      <c r="C3">
        <v>60</v>
      </c>
      <c r="D3">
        <v>60</v>
      </c>
      <c r="E3">
        <v>0</v>
      </c>
      <c r="G3">
        <v>60</v>
      </c>
      <c r="H3">
        <v>24.814</v>
      </c>
      <c r="I3">
        <v>-0.10299999999999999</v>
      </c>
      <c r="J3">
        <v>24.814</v>
      </c>
      <c r="L3">
        <v>24.814</v>
      </c>
      <c r="M3">
        <v>14</v>
      </c>
      <c r="N3">
        <v>14</v>
      </c>
      <c r="O3">
        <v>14</v>
      </c>
      <c r="Q3">
        <v>28</v>
      </c>
      <c r="R3">
        <v>0</v>
      </c>
      <c r="S3">
        <v>60</v>
      </c>
      <c r="T3">
        <v>60</v>
      </c>
      <c r="V3">
        <v>60</v>
      </c>
      <c r="W3">
        <v>24.814</v>
      </c>
      <c r="X3">
        <v>24.814</v>
      </c>
      <c r="Y3">
        <v>24.814</v>
      </c>
      <c r="AA3">
        <v>54.896999999999998</v>
      </c>
      <c r="AB3">
        <v>14</v>
      </c>
      <c r="AC3">
        <v>14</v>
      </c>
      <c r="AD3">
        <v>14</v>
      </c>
      <c r="AF3">
        <v>28</v>
      </c>
    </row>
    <row r="4" spans="1:32" x14ac:dyDescent="0.25">
      <c r="A4">
        <v>328887</v>
      </c>
      <c r="B4" t="s">
        <v>69</v>
      </c>
      <c r="C4">
        <v>0</v>
      </c>
      <c r="E4">
        <v>60</v>
      </c>
      <c r="F4">
        <v>0</v>
      </c>
      <c r="G4">
        <v>60</v>
      </c>
      <c r="H4">
        <v>24.814</v>
      </c>
      <c r="J4">
        <v>24.814</v>
      </c>
      <c r="K4">
        <v>54.896999999999998</v>
      </c>
      <c r="L4">
        <v>54.896999999999998</v>
      </c>
      <c r="M4">
        <v>14</v>
      </c>
      <c r="O4">
        <v>14</v>
      </c>
      <c r="P4">
        <v>28</v>
      </c>
      <c r="Q4">
        <v>28</v>
      </c>
      <c r="R4">
        <v>0</v>
      </c>
      <c r="T4">
        <v>60</v>
      </c>
      <c r="U4">
        <v>0</v>
      </c>
      <c r="V4">
        <v>0</v>
      </c>
      <c r="W4">
        <v>-0.10299999999999999</v>
      </c>
      <c r="Y4">
        <v>54.896999999999998</v>
      </c>
      <c r="Z4">
        <v>24.814</v>
      </c>
      <c r="AA4">
        <v>54.896999999999998</v>
      </c>
      <c r="AB4">
        <v>14</v>
      </c>
      <c r="AD4">
        <v>14</v>
      </c>
      <c r="AE4">
        <v>28</v>
      </c>
      <c r="AF4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EFDA6-B633-43D5-90E7-66CB4DD61168}">
  <sheetPr codeName="Sheet26"/>
  <dimension ref="A1:K25"/>
  <sheetViews>
    <sheetView workbookViewId="0">
      <selection activeCell="O25" sqref="N25:O25"/>
    </sheetView>
  </sheetViews>
  <sheetFormatPr defaultRowHeight="15" x14ac:dyDescent="0.25"/>
  <sheetData>
    <row r="1" spans="1:11" x14ac:dyDescent="0.25">
      <c r="A1" t="s">
        <v>2</v>
      </c>
      <c r="B1" t="s">
        <v>54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55</v>
      </c>
      <c r="J1" t="s">
        <v>56</v>
      </c>
      <c r="K1" t="s">
        <v>57</v>
      </c>
    </row>
    <row r="2" spans="1:11" x14ac:dyDescent="0.25">
      <c r="A2">
        <v>334891</v>
      </c>
      <c r="B2" t="s">
        <v>58</v>
      </c>
      <c r="C2">
        <v>60.5</v>
      </c>
      <c r="D2">
        <v>0</v>
      </c>
      <c r="E2">
        <v>28</v>
      </c>
      <c r="F2">
        <v>60.5</v>
      </c>
      <c r="G2">
        <v>20.5</v>
      </c>
      <c r="H2">
        <v>28</v>
      </c>
      <c r="I2">
        <v>0</v>
      </c>
      <c r="J2">
        <v>0</v>
      </c>
      <c r="K2">
        <v>-0.1</v>
      </c>
    </row>
    <row r="3" spans="1:11" x14ac:dyDescent="0.25">
      <c r="A3">
        <v>334893</v>
      </c>
      <c r="B3" t="s">
        <v>58</v>
      </c>
      <c r="C3">
        <v>0</v>
      </c>
      <c r="D3">
        <v>20.5</v>
      </c>
      <c r="E3">
        <v>28</v>
      </c>
      <c r="F3">
        <v>0</v>
      </c>
      <c r="G3">
        <v>0</v>
      </c>
      <c r="H3">
        <v>28</v>
      </c>
      <c r="I3">
        <v>0</v>
      </c>
      <c r="J3">
        <v>0</v>
      </c>
      <c r="K3">
        <v>-0.1</v>
      </c>
    </row>
    <row r="4" spans="1:11" x14ac:dyDescent="0.25">
      <c r="A4">
        <v>334902</v>
      </c>
      <c r="B4" t="s">
        <v>58</v>
      </c>
      <c r="C4">
        <v>60.5</v>
      </c>
      <c r="D4">
        <v>0</v>
      </c>
      <c r="E4">
        <v>14</v>
      </c>
      <c r="F4">
        <v>60.5</v>
      </c>
      <c r="G4">
        <v>20.5</v>
      </c>
      <c r="H4">
        <v>14</v>
      </c>
      <c r="I4">
        <v>0</v>
      </c>
      <c r="J4">
        <v>0</v>
      </c>
      <c r="K4">
        <v>-0.1</v>
      </c>
    </row>
    <row r="5" spans="1:11" x14ac:dyDescent="0.25">
      <c r="A5">
        <v>334903</v>
      </c>
      <c r="B5" t="s">
        <v>58</v>
      </c>
      <c r="C5">
        <v>0</v>
      </c>
      <c r="D5">
        <v>20.5</v>
      </c>
      <c r="E5">
        <v>14</v>
      </c>
      <c r="F5">
        <v>0</v>
      </c>
      <c r="G5">
        <v>0</v>
      </c>
      <c r="H5">
        <v>14</v>
      </c>
      <c r="I5">
        <v>0</v>
      </c>
      <c r="J5">
        <v>0</v>
      </c>
      <c r="K5">
        <v>-0.1</v>
      </c>
    </row>
    <row r="6" spans="1:11" x14ac:dyDescent="0.25">
      <c r="A6">
        <v>334909</v>
      </c>
      <c r="B6" t="s">
        <v>58</v>
      </c>
      <c r="C6">
        <v>60.5</v>
      </c>
      <c r="D6">
        <v>0</v>
      </c>
      <c r="E6">
        <v>42</v>
      </c>
      <c r="F6">
        <v>60.5</v>
      </c>
      <c r="G6">
        <v>20.5</v>
      </c>
      <c r="H6">
        <v>42</v>
      </c>
      <c r="I6">
        <v>0</v>
      </c>
      <c r="J6">
        <v>0</v>
      </c>
      <c r="K6">
        <v>-0.05</v>
      </c>
    </row>
    <row r="7" spans="1:11" x14ac:dyDescent="0.25">
      <c r="A7">
        <v>334910</v>
      </c>
      <c r="B7" t="s">
        <v>58</v>
      </c>
      <c r="C7">
        <v>0</v>
      </c>
      <c r="D7">
        <v>20.5</v>
      </c>
      <c r="E7">
        <v>42</v>
      </c>
      <c r="F7">
        <v>0</v>
      </c>
      <c r="G7">
        <v>0</v>
      </c>
      <c r="H7">
        <v>42</v>
      </c>
      <c r="I7">
        <v>0</v>
      </c>
      <c r="J7">
        <v>0</v>
      </c>
      <c r="K7">
        <v>-0.05</v>
      </c>
    </row>
    <row r="8" spans="1:11" x14ac:dyDescent="0.25">
      <c r="A8">
        <v>338641</v>
      </c>
      <c r="B8" t="s">
        <v>58</v>
      </c>
      <c r="C8">
        <v>40</v>
      </c>
      <c r="D8">
        <v>0</v>
      </c>
      <c r="E8">
        <v>14</v>
      </c>
      <c r="F8">
        <v>60.5</v>
      </c>
      <c r="G8">
        <v>0</v>
      </c>
      <c r="H8">
        <v>14</v>
      </c>
      <c r="I8">
        <v>0</v>
      </c>
      <c r="J8">
        <v>0</v>
      </c>
      <c r="K8">
        <v>-0.1</v>
      </c>
    </row>
    <row r="9" spans="1:11" x14ac:dyDescent="0.25">
      <c r="A9">
        <v>338804</v>
      </c>
      <c r="B9" t="s">
        <v>58</v>
      </c>
      <c r="C9">
        <v>20</v>
      </c>
      <c r="D9">
        <v>0</v>
      </c>
      <c r="E9">
        <v>14</v>
      </c>
      <c r="F9">
        <v>40</v>
      </c>
      <c r="G9">
        <v>0</v>
      </c>
      <c r="H9">
        <v>14</v>
      </c>
      <c r="I9">
        <v>0</v>
      </c>
      <c r="J9">
        <v>0</v>
      </c>
      <c r="K9">
        <v>-0.1</v>
      </c>
    </row>
    <row r="10" spans="1:11" x14ac:dyDescent="0.25">
      <c r="A10">
        <v>338870</v>
      </c>
      <c r="B10" t="s">
        <v>58</v>
      </c>
      <c r="C10">
        <v>0</v>
      </c>
      <c r="D10">
        <v>0</v>
      </c>
      <c r="E10">
        <v>14</v>
      </c>
      <c r="F10">
        <v>20</v>
      </c>
      <c r="G10">
        <v>0</v>
      </c>
      <c r="H10">
        <v>14</v>
      </c>
      <c r="I10">
        <v>0</v>
      </c>
      <c r="J10">
        <v>0</v>
      </c>
      <c r="K10">
        <v>-0.1</v>
      </c>
    </row>
    <row r="11" spans="1:11" x14ac:dyDescent="0.25">
      <c r="A11">
        <v>338972</v>
      </c>
      <c r="B11" t="s">
        <v>58</v>
      </c>
      <c r="C11">
        <v>0</v>
      </c>
      <c r="D11">
        <v>20.5</v>
      </c>
      <c r="E11">
        <v>14</v>
      </c>
      <c r="F11">
        <v>20</v>
      </c>
      <c r="G11">
        <v>20.5</v>
      </c>
      <c r="H11">
        <v>14</v>
      </c>
      <c r="I11">
        <v>0</v>
      </c>
      <c r="J11">
        <v>0</v>
      </c>
      <c r="K11">
        <v>-0.1</v>
      </c>
    </row>
    <row r="12" spans="1:11" x14ac:dyDescent="0.25">
      <c r="A12">
        <v>339068</v>
      </c>
      <c r="B12" t="s">
        <v>58</v>
      </c>
      <c r="C12">
        <v>20</v>
      </c>
      <c r="D12">
        <v>20.5</v>
      </c>
      <c r="E12">
        <v>14</v>
      </c>
      <c r="F12">
        <v>40</v>
      </c>
      <c r="G12">
        <v>20.5</v>
      </c>
      <c r="H12">
        <v>14</v>
      </c>
      <c r="I12">
        <v>0</v>
      </c>
      <c r="J12">
        <v>0</v>
      </c>
      <c r="K12">
        <v>-0.1</v>
      </c>
    </row>
    <row r="13" spans="1:11" x14ac:dyDescent="0.25">
      <c r="A13">
        <v>339426</v>
      </c>
      <c r="B13" t="s">
        <v>58</v>
      </c>
      <c r="C13">
        <v>40</v>
      </c>
      <c r="D13">
        <v>20.5</v>
      </c>
      <c r="E13">
        <v>14</v>
      </c>
      <c r="F13">
        <v>60.5</v>
      </c>
      <c r="G13">
        <v>20.5</v>
      </c>
      <c r="H13">
        <v>14</v>
      </c>
      <c r="I13">
        <v>0</v>
      </c>
      <c r="J13">
        <v>0</v>
      </c>
      <c r="K13">
        <v>-0.1</v>
      </c>
    </row>
    <row r="14" spans="1:11" x14ac:dyDescent="0.25">
      <c r="A14">
        <v>339436</v>
      </c>
      <c r="B14" t="s">
        <v>58</v>
      </c>
      <c r="C14">
        <v>40</v>
      </c>
      <c r="D14">
        <v>0</v>
      </c>
      <c r="E14">
        <v>42</v>
      </c>
      <c r="F14">
        <v>60.5</v>
      </c>
      <c r="G14">
        <v>0</v>
      </c>
      <c r="H14">
        <v>42</v>
      </c>
      <c r="I14">
        <v>0</v>
      </c>
      <c r="J14">
        <v>0</v>
      </c>
      <c r="K14">
        <v>-0.05</v>
      </c>
    </row>
    <row r="15" spans="1:11" x14ac:dyDescent="0.25">
      <c r="A15">
        <v>339437</v>
      </c>
      <c r="B15" t="s">
        <v>58</v>
      </c>
      <c r="C15">
        <v>20</v>
      </c>
      <c r="D15">
        <v>0</v>
      </c>
      <c r="E15">
        <v>42</v>
      </c>
      <c r="F15">
        <v>40</v>
      </c>
      <c r="G15">
        <v>0</v>
      </c>
      <c r="H15">
        <v>42</v>
      </c>
      <c r="I15">
        <v>0</v>
      </c>
      <c r="J15">
        <v>0</v>
      </c>
      <c r="K15">
        <v>-0.05</v>
      </c>
    </row>
    <row r="16" spans="1:11" x14ac:dyDescent="0.25">
      <c r="A16">
        <v>339438</v>
      </c>
      <c r="B16" t="s">
        <v>58</v>
      </c>
      <c r="C16">
        <v>0</v>
      </c>
      <c r="D16">
        <v>0</v>
      </c>
      <c r="E16">
        <v>42</v>
      </c>
      <c r="F16">
        <v>20</v>
      </c>
      <c r="G16">
        <v>0</v>
      </c>
      <c r="H16">
        <v>42</v>
      </c>
      <c r="I16">
        <v>0</v>
      </c>
      <c r="J16">
        <v>0</v>
      </c>
      <c r="K16">
        <v>-0.05</v>
      </c>
    </row>
    <row r="17" spans="1:11" x14ac:dyDescent="0.25">
      <c r="A17">
        <v>339439</v>
      </c>
      <c r="B17" t="s">
        <v>58</v>
      </c>
      <c r="C17">
        <v>0</v>
      </c>
      <c r="D17">
        <v>20.5</v>
      </c>
      <c r="E17">
        <v>42</v>
      </c>
      <c r="F17">
        <v>20</v>
      </c>
      <c r="G17">
        <v>20.5</v>
      </c>
      <c r="H17">
        <v>42</v>
      </c>
      <c r="I17">
        <v>0</v>
      </c>
      <c r="J17">
        <v>0</v>
      </c>
      <c r="K17">
        <v>-0.05</v>
      </c>
    </row>
    <row r="18" spans="1:11" x14ac:dyDescent="0.25">
      <c r="A18">
        <v>339440</v>
      </c>
      <c r="B18" t="s">
        <v>58</v>
      </c>
      <c r="C18">
        <v>20</v>
      </c>
      <c r="D18">
        <v>20.5</v>
      </c>
      <c r="E18">
        <v>42</v>
      </c>
      <c r="F18">
        <v>40</v>
      </c>
      <c r="G18">
        <v>20.5</v>
      </c>
      <c r="H18">
        <v>42</v>
      </c>
      <c r="I18">
        <v>0</v>
      </c>
      <c r="J18">
        <v>0</v>
      </c>
      <c r="K18">
        <v>-0.05</v>
      </c>
    </row>
    <row r="19" spans="1:11" x14ac:dyDescent="0.25">
      <c r="A19">
        <v>339441</v>
      </c>
      <c r="B19" t="s">
        <v>58</v>
      </c>
      <c r="C19">
        <v>40</v>
      </c>
      <c r="D19">
        <v>20.5</v>
      </c>
      <c r="E19">
        <v>42</v>
      </c>
      <c r="F19">
        <v>60.5</v>
      </c>
      <c r="G19">
        <v>20.5</v>
      </c>
      <c r="H19">
        <v>42</v>
      </c>
      <c r="I19">
        <v>0</v>
      </c>
      <c r="J19">
        <v>0</v>
      </c>
      <c r="K19">
        <v>-0.05</v>
      </c>
    </row>
    <row r="20" spans="1:11" x14ac:dyDescent="0.25">
      <c r="A20">
        <v>339452</v>
      </c>
      <c r="B20" t="s">
        <v>58</v>
      </c>
      <c r="C20">
        <v>40</v>
      </c>
      <c r="D20">
        <v>0</v>
      </c>
      <c r="E20">
        <v>28</v>
      </c>
      <c r="F20">
        <v>60.5</v>
      </c>
      <c r="G20">
        <v>0</v>
      </c>
      <c r="H20">
        <v>28</v>
      </c>
      <c r="I20">
        <v>0</v>
      </c>
      <c r="J20">
        <v>0</v>
      </c>
      <c r="K20">
        <v>-0.1</v>
      </c>
    </row>
    <row r="21" spans="1:11" x14ac:dyDescent="0.25">
      <c r="A21">
        <v>339453</v>
      </c>
      <c r="B21" t="s">
        <v>58</v>
      </c>
      <c r="C21">
        <v>20</v>
      </c>
      <c r="D21">
        <v>0</v>
      </c>
      <c r="E21">
        <v>28</v>
      </c>
      <c r="F21">
        <v>40</v>
      </c>
      <c r="G21">
        <v>0</v>
      </c>
      <c r="H21">
        <v>28</v>
      </c>
      <c r="I21">
        <v>0</v>
      </c>
      <c r="J21">
        <v>0</v>
      </c>
      <c r="K21">
        <v>-0.1</v>
      </c>
    </row>
    <row r="22" spans="1:11" x14ac:dyDescent="0.25">
      <c r="A22">
        <v>339454</v>
      </c>
      <c r="B22" t="s">
        <v>58</v>
      </c>
      <c r="C22">
        <v>0</v>
      </c>
      <c r="D22">
        <v>0</v>
      </c>
      <c r="E22">
        <v>28</v>
      </c>
      <c r="F22">
        <v>20</v>
      </c>
      <c r="G22">
        <v>0</v>
      </c>
      <c r="H22">
        <v>28</v>
      </c>
      <c r="I22">
        <v>0</v>
      </c>
      <c r="J22">
        <v>0</v>
      </c>
      <c r="K22">
        <v>-0.1</v>
      </c>
    </row>
    <row r="23" spans="1:11" x14ac:dyDescent="0.25">
      <c r="A23">
        <v>339455</v>
      </c>
      <c r="B23" t="s">
        <v>58</v>
      </c>
      <c r="C23">
        <v>0</v>
      </c>
      <c r="D23">
        <v>20.5</v>
      </c>
      <c r="E23">
        <v>28</v>
      </c>
      <c r="F23">
        <v>20</v>
      </c>
      <c r="G23">
        <v>20.5</v>
      </c>
      <c r="H23">
        <v>28</v>
      </c>
      <c r="I23">
        <v>0</v>
      </c>
      <c r="J23">
        <v>0</v>
      </c>
      <c r="K23">
        <v>-0.1</v>
      </c>
    </row>
    <row r="24" spans="1:11" x14ac:dyDescent="0.25">
      <c r="A24">
        <v>339456</v>
      </c>
      <c r="B24" t="s">
        <v>58</v>
      </c>
      <c r="C24">
        <v>20</v>
      </c>
      <c r="D24">
        <v>20.5</v>
      </c>
      <c r="E24">
        <v>28</v>
      </c>
      <c r="F24">
        <v>40</v>
      </c>
      <c r="G24">
        <v>20.5</v>
      </c>
      <c r="H24">
        <v>28</v>
      </c>
      <c r="I24">
        <v>0</v>
      </c>
      <c r="J24">
        <v>0</v>
      </c>
      <c r="K24">
        <v>-0.1</v>
      </c>
    </row>
    <row r="25" spans="1:11" x14ac:dyDescent="0.25">
      <c r="A25">
        <v>339457</v>
      </c>
      <c r="B25" t="s">
        <v>58</v>
      </c>
      <c r="C25">
        <v>40</v>
      </c>
      <c r="D25">
        <v>20.5</v>
      </c>
      <c r="E25">
        <v>28</v>
      </c>
      <c r="F25">
        <v>60.5</v>
      </c>
      <c r="G25">
        <v>20.5</v>
      </c>
      <c r="H25">
        <v>28</v>
      </c>
      <c r="I25">
        <v>0</v>
      </c>
      <c r="J25">
        <v>0</v>
      </c>
      <c r="K25">
        <v>-0.1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0C36-15E3-4F86-A5C8-C68015A8CAF4}">
  <sheetPr codeName="Sheet5"/>
  <dimension ref="A1:N47"/>
  <sheetViews>
    <sheetView view="pageLayout" zoomScale="98" zoomScaleNormal="100" zoomScalePageLayoutView="98" workbookViewId="0">
      <selection activeCell="Q3" sqref="Q3"/>
    </sheetView>
  </sheetViews>
  <sheetFormatPr defaultRowHeight="15" x14ac:dyDescent="0.25"/>
  <cols>
    <col min="5" max="5" width="11.5703125" customWidth="1"/>
    <col min="6" max="6" width="7.42578125" customWidth="1"/>
    <col min="7" max="7" width="8" customWidth="1"/>
    <col min="8" max="8" width="7.85546875" customWidth="1"/>
    <col min="9" max="9" width="7.7109375" customWidth="1"/>
  </cols>
  <sheetData>
    <row r="1" spans="1:14" x14ac:dyDescent="0.25">
      <c r="A1" s="34"/>
      <c r="B1" s="35"/>
      <c r="C1" s="35"/>
      <c r="D1" s="35"/>
      <c r="E1" s="35"/>
      <c r="F1" s="35"/>
      <c r="G1" s="35"/>
      <c r="H1" s="35"/>
      <c r="I1" s="35"/>
      <c r="J1" s="36"/>
    </row>
    <row r="2" spans="1:14" x14ac:dyDescent="0.25">
      <c r="A2" s="37"/>
      <c r="B2" s="38"/>
      <c r="C2" s="38"/>
      <c r="D2" s="38"/>
      <c r="E2" s="38"/>
      <c r="F2" s="38"/>
      <c r="G2" s="38"/>
      <c r="H2" s="38"/>
      <c r="I2" s="38"/>
      <c r="J2" s="39"/>
    </row>
    <row r="3" spans="1:14" x14ac:dyDescent="0.25">
      <c r="A3" s="40" t="s">
        <v>32</v>
      </c>
      <c r="B3" s="41"/>
      <c r="C3" s="41"/>
      <c r="D3" s="41"/>
      <c r="E3" s="41"/>
      <c r="F3" s="38"/>
      <c r="G3" s="38"/>
      <c r="H3" s="38"/>
      <c r="I3" s="38"/>
      <c r="J3" s="39"/>
    </row>
    <row r="4" spans="1:14" x14ac:dyDescent="0.25">
      <c r="A4" s="37"/>
      <c r="B4" s="48" t="s">
        <v>62</v>
      </c>
      <c r="C4" s="28"/>
      <c r="D4" s="28"/>
      <c r="E4" s="28"/>
      <c r="F4" s="28"/>
      <c r="G4" s="28"/>
      <c r="H4" s="28"/>
      <c r="I4" s="29"/>
      <c r="J4" s="39"/>
    </row>
    <row r="5" spans="1:14" x14ac:dyDescent="0.25">
      <c r="A5" s="37"/>
      <c r="B5" s="38" t="s">
        <v>42</v>
      </c>
      <c r="C5" s="38"/>
      <c r="D5" s="38"/>
      <c r="E5" s="38"/>
      <c r="F5" s="38"/>
      <c r="G5" s="38"/>
      <c r="H5" s="38"/>
      <c r="I5" s="38"/>
      <c r="J5" s="39"/>
    </row>
    <row r="6" spans="1:14" x14ac:dyDescent="0.25">
      <c r="A6" s="37"/>
      <c r="B6" s="38"/>
      <c r="C6" s="38"/>
      <c r="D6" s="38"/>
      <c r="E6" s="38"/>
      <c r="F6" s="38"/>
      <c r="G6" s="38"/>
      <c r="H6" s="38"/>
      <c r="I6" s="38"/>
      <c r="J6" s="39"/>
    </row>
    <row r="7" spans="1:14" x14ac:dyDescent="0.25">
      <c r="A7" s="40" t="s">
        <v>41</v>
      </c>
      <c r="B7" s="41"/>
      <c r="C7" s="41"/>
      <c r="D7" s="41"/>
      <c r="E7" s="41"/>
      <c r="F7" s="38"/>
      <c r="G7" s="38"/>
      <c r="H7" s="38"/>
      <c r="I7" s="38"/>
      <c r="J7" s="39"/>
    </row>
    <row r="8" spans="1:14" x14ac:dyDescent="0.25">
      <c r="A8" s="37"/>
      <c r="B8" s="27" t="s">
        <v>63</v>
      </c>
      <c r="C8" s="28"/>
      <c r="D8" s="28"/>
      <c r="E8" s="28"/>
      <c r="F8" s="28"/>
      <c r="G8" s="28"/>
      <c r="H8" s="28"/>
      <c r="I8" s="29"/>
      <c r="J8" s="39"/>
    </row>
    <row r="9" spans="1:14" x14ac:dyDescent="0.25">
      <c r="A9" s="37"/>
      <c r="B9" s="38" t="s">
        <v>43</v>
      </c>
      <c r="C9" s="38"/>
      <c r="D9" s="38"/>
      <c r="E9" s="38"/>
      <c r="F9" s="38"/>
      <c r="G9" s="38"/>
      <c r="H9" s="38"/>
      <c r="I9" s="38"/>
      <c r="J9" s="39"/>
    </row>
    <row r="10" spans="1:14" x14ac:dyDescent="0.25">
      <c r="A10" s="37"/>
      <c r="B10" s="38"/>
      <c r="C10" s="38"/>
      <c r="D10" s="38"/>
      <c r="E10" s="38"/>
      <c r="F10" s="38"/>
      <c r="G10" s="38"/>
      <c r="H10" s="38"/>
      <c r="I10" s="38"/>
      <c r="J10" s="39"/>
    </row>
    <row r="11" spans="1:14" x14ac:dyDescent="0.25">
      <c r="A11" s="42" t="s">
        <v>30</v>
      </c>
      <c r="B11" s="43"/>
      <c r="C11" s="43"/>
      <c r="D11" s="43"/>
      <c r="E11" s="43"/>
      <c r="F11" s="38"/>
      <c r="G11" s="38"/>
      <c r="H11" s="38"/>
      <c r="I11" s="38"/>
      <c r="J11" s="39"/>
    </row>
    <row r="12" spans="1:14" x14ac:dyDescent="0.25">
      <c r="A12" s="6"/>
      <c r="B12" s="3"/>
      <c r="C12" s="4"/>
      <c r="D12" s="4"/>
      <c r="E12" s="4"/>
      <c r="F12" s="4"/>
      <c r="G12" s="4"/>
      <c r="H12" s="4"/>
      <c r="I12" s="5"/>
      <c r="J12" s="39"/>
      <c r="K12" s="2"/>
      <c r="L12" s="2"/>
      <c r="M12" s="2"/>
      <c r="N12" s="2"/>
    </row>
    <row r="13" spans="1:14" x14ac:dyDescent="0.25">
      <c r="A13" s="6"/>
      <c r="B13" s="6"/>
      <c r="C13" s="7"/>
      <c r="D13" s="7"/>
      <c r="E13" s="7"/>
      <c r="F13" s="7"/>
      <c r="G13" s="7"/>
      <c r="H13" s="7"/>
      <c r="I13" s="8"/>
      <c r="J13" s="39"/>
      <c r="K13" s="2"/>
      <c r="L13" s="2"/>
      <c r="M13" s="2"/>
      <c r="N13" s="2"/>
    </row>
    <row r="14" spans="1:14" x14ac:dyDescent="0.25">
      <c r="A14" s="6"/>
      <c r="B14" s="6"/>
      <c r="C14" s="7"/>
      <c r="D14" s="7"/>
      <c r="E14" s="32"/>
      <c r="F14" s="32"/>
      <c r="G14" s="32"/>
      <c r="H14" s="32"/>
      <c r="I14" s="8"/>
      <c r="J14" s="39"/>
      <c r="K14" s="2"/>
      <c r="L14" s="2"/>
      <c r="M14" s="2"/>
      <c r="N14" s="2"/>
    </row>
    <row r="15" spans="1:14" x14ac:dyDescent="0.25">
      <c r="A15" s="6"/>
      <c r="B15" s="9"/>
      <c r="C15" s="10"/>
      <c r="D15" s="10"/>
      <c r="E15" s="10"/>
      <c r="F15" s="33"/>
      <c r="G15" s="10"/>
      <c r="H15" s="10"/>
      <c r="I15" s="11"/>
      <c r="J15" s="39"/>
      <c r="K15" s="2"/>
      <c r="L15" s="2"/>
      <c r="M15" s="2"/>
      <c r="N15" s="2"/>
    </row>
    <row r="16" spans="1:14" x14ac:dyDescent="0.25">
      <c r="A16" s="6"/>
      <c r="B16" s="7"/>
      <c r="C16" s="7"/>
      <c r="D16" s="7"/>
      <c r="E16" s="7"/>
      <c r="F16" s="7"/>
      <c r="G16" s="7"/>
      <c r="H16" s="7"/>
      <c r="I16" s="7"/>
      <c r="J16" s="39"/>
      <c r="K16" s="2"/>
      <c r="L16" s="2"/>
      <c r="M16" s="2"/>
      <c r="N16" s="2"/>
    </row>
    <row r="17" spans="1:12" x14ac:dyDescent="0.25">
      <c r="A17" s="37"/>
      <c r="B17" s="22" t="s">
        <v>37</v>
      </c>
      <c r="C17" s="23"/>
      <c r="D17" s="23"/>
      <c r="E17" s="24" t="s">
        <v>46</v>
      </c>
      <c r="F17" s="23"/>
      <c r="G17" s="23" t="s">
        <v>40</v>
      </c>
      <c r="H17" s="23"/>
      <c r="I17" s="25"/>
      <c r="J17" s="39"/>
      <c r="K17" s="1"/>
      <c r="L17" s="1"/>
    </row>
    <row r="18" spans="1:12" x14ac:dyDescent="0.25">
      <c r="A18" s="37"/>
      <c r="B18" s="12" t="s">
        <v>33</v>
      </c>
      <c r="C18" s="13"/>
      <c r="D18" s="14"/>
      <c r="E18" s="30">
        <v>0.69357638888888884</v>
      </c>
      <c r="F18" s="12"/>
      <c r="G18" s="13"/>
      <c r="H18" s="13"/>
      <c r="I18" s="14"/>
      <c r="J18" s="39"/>
    </row>
    <row r="19" spans="1:12" x14ac:dyDescent="0.25">
      <c r="A19" s="37"/>
      <c r="B19" s="15" t="s">
        <v>34</v>
      </c>
      <c r="C19" s="16"/>
      <c r="D19" s="17"/>
      <c r="E19" s="31">
        <v>0.69361111111111118</v>
      </c>
      <c r="F19" s="15" t="s">
        <v>49</v>
      </c>
      <c r="G19" s="16"/>
      <c r="H19" s="16"/>
      <c r="I19" s="17"/>
      <c r="J19" s="39"/>
    </row>
    <row r="20" spans="1:12" x14ac:dyDescent="0.25">
      <c r="A20" s="37"/>
      <c r="B20" s="15" t="s">
        <v>35</v>
      </c>
      <c r="C20" s="16"/>
      <c r="D20" s="17"/>
      <c r="E20" s="31">
        <v>0.69361111111111118</v>
      </c>
      <c r="F20" s="15" t="s">
        <v>50</v>
      </c>
      <c r="G20" s="16"/>
      <c r="H20" s="16"/>
      <c r="I20" s="17"/>
      <c r="J20" s="39"/>
    </row>
    <row r="21" spans="1:12" x14ac:dyDescent="0.25">
      <c r="A21" s="37"/>
      <c r="B21" s="15" t="s">
        <v>36</v>
      </c>
      <c r="C21" s="16"/>
      <c r="D21" s="17"/>
      <c r="E21" s="26"/>
      <c r="F21" s="15" t="s">
        <v>61</v>
      </c>
      <c r="G21" s="16"/>
      <c r="H21" s="16"/>
      <c r="I21" s="17"/>
      <c r="J21" s="39"/>
    </row>
    <row r="22" spans="1:12" x14ac:dyDescent="0.25">
      <c r="A22" s="37"/>
      <c r="B22" s="15" t="s">
        <v>38</v>
      </c>
      <c r="C22" s="16"/>
      <c r="D22" s="17"/>
      <c r="E22" s="26"/>
      <c r="F22" s="15"/>
      <c r="G22" s="16"/>
      <c r="H22" s="16"/>
      <c r="I22" s="17"/>
      <c r="J22" s="39"/>
    </row>
    <row r="23" spans="1:12" x14ac:dyDescent="0.25">
      <c r="A23" s="37"/>
      <c r="B23" s="18" t="s">
        <v>39</v>
      </c>
      <c r="C23" s="19"/>
      <c r="D23" s="20"/>
      <c r="E23" s="21"/>
      <c r="F23" s="18"/>
      <c r="G23" s="19"/>
      <c r="H23" s="19"/>
      <c r="I23" s="20"/>
      <c r="J23" s="39"/>
    </row>
    <row r="24" spans="1:12" x14ac:dyDescent="0.25">
      <c r="A24" s="37"/>
      <c r="B24" s="38"/>
      <c r="C24" s="38"/>
      <c r="D24" s="38"/>
      <c r="E24" s="38"/>
      <c r="F24" s="38"/>
      <c r="G24" s="38"/>
      <c r="H24" s="38"/>
      <c r="I24" s="38"/>
      <c r="J24" s="39"/>
    </row>
    <row r="25" spans="1:12" x14ac:dyDescent="0.25">
      <c r="A25" s="44" t="s">
        <v>31</v>
      </c>
      <c r="B25" s="43"/>
      <c r="C25" s="43"/>
      <c r="D25" s="43"/>
      <c r="E25" s="43"/>
      <c r="F25" s="38"/>
      <c r="G25" s="38"/>
      <c r="H25" s="38"/>
      <c r="I25" s="38"/>
      <c r="J25" s="39"/>
    </row>
    <row r="26" spans="1:12" x14ac:dyDescent="0.25">
      <c r="A26" s="37"/>
      <c r="B26" s="38"/>
      <c r="C26" s="38"/>
      <c r="D26" s="38"/>
      <c r="E26" s="38"/>
      <c r="F26" s="38"/>
      <c r="G26" s="38"/>
      <c r="H26" s="38"/>
      <c r="I26" s="38"/>
      <c r="J26" s="39"/>
    </row>
    <row r="27" spans="1:12" x14ac:dyDescent="0.25">
      <c r="A27" s="37"/>
      <c r="B27" s="38"/>
      <c r="C27" s="38"/>
      <c r="D27" s="38"/>
      <c r="E27" s="38"/>
      <c r="F27" s="38"/>
      <c r="G27" s="38"/>
      <c r="H27" s="38"/>
      <c r="I27" s="38"/>
      <c r="J27" s="39"/>
    </row>
    <row r="28" spans="1:12" x14ac:dyDescent="0.25">
      <c r="A28" s="37"/>
      <c r="B28" s="38"/>
      <c r="C28" s="38"/>
      <c r="D28" s="38"/>
      <c r="E28" s="38"/>
      <c r="F28" s="38"/>
      <c r="G28" s="38"/>
      <c r="H28" s="38"/>
      <c r="I28" s="38"/>
      <c r="J28" s="39"/>
    </row>
    <row r="29" spans="1:12" x14ac:dyDescent="0.25">
      <c r="A29" s="37"/>
      <c r="B29" s="38"/>
      <c r="C29" s="38"/>
      <c r="D29" s="38"/>
      <c r="E29" s="38"/>
      <c r="F29" s="38"/>
      <c r="G29" s="38"/>
      <c r="H29" s="38"/>
      <c r="I29" s="38"/>
      <c r="J29" s="39"/>
    </row>
    <row r="30" spans="1:12" x14ac:dyDescent="0.25">
      <c r="A30" s="37"/>
      <c r="B30" s="38"/>
      <c r="C30" s="38"/>
      <c r="D30" s="38"/>
      <c r="E30" s="38"/>
      <c r="F30" s="38"/>
      <c r="G30" s="38"/>
      <c r="H30" s="38"/>
      <c r="I30" s="38"/>
      <c r="J30" s="39"/>
    </row>
    <row r="31" spans="1:12" x14ac:dyDescent="0.25">
      <c r="A31" s="37"/>
      <c r="B31" s="38"/>
      <c r="C31" s="38"/>
      <c r="D31" s="38"/>
      <c r="E31" s="38"/>
      <c r="F31" s="38"/>
      <c r="G31" s="38"/>
      <c r="H31" s="38"/>
      <c r="I31" s="38"/>
      <c r="J31" s="39"/>
    </row>
    <row r="32" spans="1:12" x14ac:dyDescent="0.25">
      <c r="A32" s="37"/>
      <c r="B32" s="38"/>
      <c r="C32" s="38"/>
      <c r="D32" s="38"/>
      <c r="E32" s="38"/>
      <c r="F32" s="38"/>
      <c r="G32" s="38"/>
      <c r="H32" s="38"/>
      <c r="I32" s="38"/>
      <c r="J32" s="39"/>
    </row>
    <row r="33" spans="1:10" x14ac:dyDescent="0.25">
      <c r="A33" s="37"/>
      <c r="B33" s="38"/>
      <c r="C33" s="38"/>
      <c r="D33" s="38"/>
      <c r="E33" s="38"/>
      <c r="F33" s="38"/>
      <c r="G33" s="38"/>
      <c r="H33" s="38"/>
      <c r="I33" s="38"/>
      <c r="J33" s="39"/>
    </row>
    <row r="34" spans="1:10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9"/>
    </row>
    <row r="35" spans="1:10" x14ac:dyDescent="0.25">
      <c r="A35" s="37"/>
      <c r="B35" s="38"/>
      <c r="C35" s="38"/>
      <c r="D35" s="38"/>
      <c r="E35" s="38"/>
      <c r="F35" s="38"/>
      <c r="G35" s="38"/>
      <c r="H35" s="38"/>
      <c r="I35" s="38"/>
      <c r="J35" s="39"/>
    </row>
    <row r="36" spans="1:10" x14ac:dyDescent="0.25">
      <c r="A36" s="37"/>
      <c r="B36" s="38"/>
      <c r="C36" s="38"/>
      <c r="D36" s="38"/>
      <c r="E36" s="38"/>
      <c r="F36" s="38"/>
      <c r="G36" s="38"/>
      <c r="H36" s="38"/>
      <c r="I36" s="38"/>
      <c r="J36" s="39"/>
    </row>
    <row r="37" spans="1:10" x14ac:dyDescent="0.25">
      <c r="A37" s="37"/>
      <c r="B37" s="38"/>
      <c r="C37" s="38"/>
      <c r="D37" s="38"/>
      <c r="E37" s="38"/>
      <c r="F37" s="38"/>
      <c r="G37" s="38"/>
      <c r="H37" s="38"/>
      <c r="I37" s="38"/>
      <c r="J37" s="39"/>
    </row>
    <row r="38" spans="1:10" x14ac:dyDescent="0.25">
      <c r="A38" s="37"/>
      <c r="B38" s="38"/>
      <c r="C38" s="38"/>
      <c r="D38" s="38"/>
      <c r="E38" s="38"/>
      <c r="F38" s="38"/>
      <c r="G38" s="38"/>
      <c r="H38" s="38"/>
      <c r="I38" s="38"/>
      <c r="J38" s="39"/>
    </row>
    <row r="39" spans="1:10" x14ac:dyDescent="0.25">
      <c r="A39" s="37"/>
      <c r="B39" s="38"/>
      <c r="C39" s="38"/>
      <c r="D39" s="38"/>
      <c r="E39" s="38"/>
      <c r="F39" s="38"/>
      <c r="G39" s="38"/>
      <c r="H39" s="38"/>
      <c r="I39" s="38"/>
      <c r="J39" s="39"/>
    </row>
    <row r="40" spans="1:10" x14ac:dyDescent="0.25">
      <c r="A40" s="37"/>
      <c r="B40" s="38"/>
      <c r="C40" s="38"/>
      <c r="D40" s="38"/>
      <c r="E40" s="38"/>
      <c r="F40" s="38"/>
      <c r="G40" s="38"/>
      <c r="H40" s="38"/>
      <c r="I40" s="38"/>
      <c r="J40" s="39"/>
    </row>
    <row r="41" spans="1:10" x14ac:dyDescent="0.25">
      <c r="A41" s="37"/>
      <c r="B41" s="38"/>
      <c r="C41" s="38"/>
      <c r="D41" s="38"/>
      <c r="E41" s="38"/>
      <c r="F41" s="38"/>
      <c r="G41" s="38"/>
      <c r="H41" s="38"/>
      <c r="I41" s="38"/>
      <c r="J41" s="39"/>
    </row>
    <row r="42" spans="1:10" x14ac:dyDescent="0.25">
      <c r="A42" s="37"/>
      <c r="B42" s="38"/>
      <c r="C42" s="38"/>
      <c r="D42" s="38"/>
      <c r="E42" s="38"/>
      <c r="F42" s="38"/>
      <c r="G42" s="38"/>
      <c r="H42" s="38"/>
      <c r="I42" s="38"/>
      <c r="J42" s="39"/>
    </row>
    <row r="43" spans="1:10" x14ac:dyDescent="0.25">
      <c r="A43" s="37"/>
      <c r="B43" s="38"/>
      <c r="C43" s="38"/>
      <c r="D43" s="38"/>
      <c r="E43" s="38"/>
      <c r="F43" s="38"/>
      <c r="G43" s="38"/>
      <c r="H43" s="38"/>
      <c r="I43" s="38"/>
      <c r="J43" s="39"/>
    </row>
    <row r="44" spans="1:10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9"/>
    </row>
    <row r="45" spans="1:10" x14ac:dyDescent="0.25">
      <c r="A45" s="37"/>
      <c r="B45" s="38"/>
      <c r="C45" s="38"/>
      <c r="D45" s="38"/>
      <c r="E45" s="38"/>
      <c r="F45" s="38"/>
      <c r="G45" s="38"/>
      <c r="H45" s="38"/>
      <c r="I45" s="38"/>
      <c r="J45" s="39"/>
    </row>
    <row r="46" spans="1:10" x14ac:dyDescent="0.25">
      <c r="A46" s="37"/>
      <c r="B46" s="38"/>
      <c r="C46" s="38"/>
      <c r="D46" s="38"/>
      <c r="E46" s="38"/>
      <c r="F46" s="38"/>
      <c r="G46" s="38"/>
      <c r="H46" s="38"/>
      <c r="I46" s="38"/>
      <c r="J46" s="39"/>
    </row>
    <row r="47" spans="1:10" x14ac:dyDescent="0.25">
      <c r="A47" s="45"/>
      <c r="B47" s="46"/>
      <c r="C47" s="46"/>
      <c r="D47" s="46"/>
      <c r="E47" s="46"/>
      <c r="F47" s="46"/>
      <c r="G47" s="46"/>
      <c r="H47" s="46"/>
      <c r="I47" s="46"/>
      <c r="J47" s="47"/>
    </row>
  </sheetData>
  <hyperlinks>
    <hyperlink ref="B4" r:id="rId1" xr:uid="{872E103F-E7D4-4FFF-8FFA-59E1F5A21A59}"/>
  </hyperlinks>
  <pageMargins left="0.7" right="0.7" top="0.75" bottom="0.75" header="0.3" footer="0.3"/>
  <pageSetup orientation="portrait" horizontalDpi="1200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11</xdr:col>
                <xdr:colOff>409575</xdr:colOff>
                <xdr:row>18</xdr:row>
                <xdr:rowOff>66675</xdr:rowOff>
              </from>
              <to>
                <xdr:col>13</xdr:col>
                <xdr:colOff>266700</xdr:colOff>
                <xdr:row>20</xdr:row>
                <xdr:rowOff>133350</xdr:rowOff>
              </to>
            </anchor>
          </controlPr>
        </control>
      </mc:Choice>
      <mc:Fallback>
        <control shapeId="1028" r:id="rId5" name="CommandButton1"/>
      </mc:Fallback>
    </mc:AlternateContent>
    <mc:AlternateContent xmlns:mc="http://schemas.openxmlformats.org/markup-compatibility/2006">
      <mc:Choice Requires="x14">
        <control shapeId="1025" r:id="rId7" name="Button 1">
          <controlPr defaultSize="0" print="0" autoFill="0" autoPict="0" macro="[0]!Button2_Click">
            <anchor moveWithCells="1">
              <from>
                <xdr:col>3</xdr:col>
                <xdr:colOff>285750</xdr:colOff>
                <xdr:row>31</xdr:row>
                <xdr:rowOff>57150</xdr:rowOff>
              </from>
              <to>
                <xdr:col>4</xdr:col>
                <xdr:colOff>657225</xdr:colOff>
                <xdr:row>32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Button2_Click">
            <anchor moveWithCells="1">
              <from>
                <xdr:col>12</xdr:col>
                <xdr:colOff>209550</xdr:colOff>
                <xdr:row>28</xdr:row>
                <xdr:rowOff>85725</xdr:rowOff>
              </from>
              <to>
                <xdr:col>13</xdr:col>
                <xdr:colOff>104775</xdr:colOff>
                <xdr:row>29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9" name="Button 3">
          <controlPr defaultSize="0" print="0" autoFill="0" autoPict="0" macro="[0]!Button3_Click">
            <anchor moveWithCells="1">
              <from>
                <xdr:col>12</xdr:col>
                <xdr:colOff>47625</xdr:colOff>
                <xdr:row>25</xdr:row>
                <xdr:rowOff>171450</xdr:rowOff>
              </from>
              <to>
                <xdr:col>12</xdr:col>
                <xdr:colOff>590550</xdr:colOff>
                <xdr:row>27</xdr:row>
                <xdr:rowOff>28575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A42A7-6EFC-4B99-912F-2DA0D64E8E26}">
  <sheetPr codeName="Sheet6"/>
  <dimension ref="D1:W159"/>
  <sheetViews>
    <sheetView workbookViewId="0">
      <selection activeCell="U24" sqref="U24"/>
    </sheetView>
  </sheetViews>
  <sheetFormatPr defaultRowHeight="15" x14ac:dyDescent="0.25"/>
  <sheetData>
    <row r="1" spans="4:23" x14ac:dyDescent="0.25">
      <c r="F1" t="s">
        <v>0</v>
      </c>
      <c r="G1">
        <v>0</v>
      </c>
      <c r="H1">
        <v>0</v>
      </c>
      <c r="I1">
        <v>28</v>
      </c>
    </row>
    <row r="2" spans="4:23" x14ac:dyDescent="0.25">
      <c r="D2" t="s">
        <v>1</v>
      </c>
      <c r="F2" t="s">
        <v>1</v>
      </c>
      <c r="G2">
        <v>40</v>
      </c>
      <c r="H2">
        <v>0</v>
      </c>
      <c r="I2">
        <v>28</v>
      </c>
    </row>
    <row r="3" spans="4:23" x14ac:dyDescent="0.25">
      <c r="F3" t="s">
        <v>1</v>
      </c>
      <c r="G3">
        <v>20</v>
      </c>
      <c r="H3">
        <v>0</v>
      </c>
      <c r="I3">
        <v>28</v>
      </c>
    </row>
    <row r="4" spans="4:23" x14ac:dyDescent="0.25">
      <c r="F4" t="s">
        <v>0</v>
      </c>
      <c r="G4">
        <v>60.5</v>
      </c>
      <c r="H4">
        <v>0</v>
      </c>
      <c r="I4">
        <v>28</v>
      </c>
    </row>
    <row r="5" spans="4:23" x14ac:dyDescent="0.25">
      <c r="F5" t="s">
        <v>0</v>
      </c>
      <c r="G5">
        <v>0</v>
      </c>
      <c r="H5">
        <v>0</v>
      </c>
      <c r="I5">
        <v>28</v>
      </c>
    </row>
    <row r="6" spans="4:23" x14ac:dyDescent="0.25">
      <c r="F6" t="s">
        <v>1</v>
      </c>
      <c r="G6">
        <v>0</v>
      </c>
      <c r="H6">
        <v>20.5</v>
      </c>
      <c r="I6">
        <v>28</v>
      </c>
    </row>
    <row r="7" spans="4:23" x14ac:dyDescent="0.25">
      <c r="F7" t="s">
        <v>1</v>
      </c>
      <c r="G7">
        <v>20</v>
      </c>
      <c r="H7">
        <v>20.5</v>
      </c>
      <c r="I7">
        <v>28</v>
      </c>
    </row>
    <row r="8" spans="4:23" x14ac:dyDescent="0.25">
      <c r="F8" t="s">
        <v>0</v>
      </c>
      <c r="G8">
        <v>40</v>
      </c>
      <c r="H8">
        <v>20.5</v>
      </c>
      <c r="I8">
        <v>28</v>
      </c>
    </row>
    <row r="9" spans="4:23" x14ac:dyDescent="0.25">
      <c r="F9" t="s">
        <v>0</v>
      </c>
      <c r="G9">
        <v>20</v>
      </c>
      <c r="H9">
        <v>0</v>
      </c>
      <c r="I9">
        <v>28</v>
      </c>
    </row>
    <row r="10" spans="4:23" x14ac:dyDescent="0.25">
      <c r="F10" t="s">
        <v>1</v>
      </c>
      <c r="G10">
        <v>40</v>
      </c>
      <c r="H10">
        <v>0</v>
      </c>
      <c r="I10">
        <v>28</v>
      </c>
    </row>
    <row r="11" spans="4:23" x14ac:dyDescent="0.25">
      <c r="F11" t="s">
        <v>1</v>
      </c>
      <c r="G11">
        <v>0</v>
      </c>
      <c r="H11">
        <v>10.25</v>
      </c>
      <c r="I11">
        <v>28</v>
      </c>
    </row>
    <row r="12" spans="4:23" x14ac:dyDescent="0.25">
      <c r="F12" t="s">
        <v>0</v>
      </c>
      <c r="G12">
        <v>20</v>
      </c>
      <c r="H12">
        <v>10.25</v>
      </c>
      <c r="I12">
        <v>28</v>
      </c>
    </row>
    <row r="13" spans="4:23" x14ac:dyDescent="0.25">
      <c r="F13" t="s">
        <v>0</v>
      </c>
      <c r="G13">
        <v>40</v>
      </c>
      <c r="H13">
        <v>10.25</v>
      </c>
      <c r="I13">
        <v>28</v>
      </c>
    </row>
    <row r="14" spans="4:23" x14ac:dyDescent="0.25">
      <c r="F14" t="s">
        <v>1</v>
      </c>
      <c r="G14">
        <v>4</v>
      </c>
      <c r="H14">
        <v>10.25</v>
      </c>
      <c r="I14">
        <v>28</v>
      </c>
      <c r="Q14" t="s">
        <v>59</v>
      </c>
      <c r="R14">
        <v>0</v>
      </c>
      <c r="S14">
        <v>20.5</v>
      </c>
      <c r="T14">
        <v>42</v>
      </c>
      <c r="U14">
        <v>0</v>
      </c>
      <c r="V14">
        <v>0</v>
      </c>
      <c r="W14">
        <v>42</v>
      </c>
    </row>
    <row r="15" spans="4:23" x14ac:dyDescent="0.25">
      <c r="F15" t="s">
        <v>1</v>
      </c>
      <c r="G15">
        <v>8</v>
      </c>
      <c r="H15">
        <v>10.25</v>
      </c>
      <c r="I15">
        <v>28</v>
      </c>
      <c r="Q15" t="s">
        <v>60</v>
      </c>
      <c r="R15">
        <v>0</v>
      </c>
      <c r="S15">
        <v>20.5</v>
      </c>
      <c r="T15">
        <v>42</v>
      </c>
      <c r="U15">
        <v>0</v>
      </c>
      <c r="V15">
        <v>0</v>
      </c>
      <c r="W15">
        <v>42</v>
      </c>
    </row>
    <row r="16" spans="4:23" x14ac:dyDescent="0.25">
      <c r="F16" t="s">
        <v>0</v>
      </c>
      <c r="G16">
        <v>12</v>
      </c>
      <c r="H16">
        <v>10.25</v>
      </c>
      <c r="I16">
        <v>28</v>
      </c>
      <c r="R16" t="b">
        <f>IF(R14=R15,TRUE,FALSE)</f>
        <v>1</v>
      </c>
      <c r="S16" t="b">
        <f t="shared" ref="S16:W16" si="0">IF(S14=S15,TRUE,FALSE)</f>
        <v>1</v>
      </c>
      <c r="T16" t="b">
        <f t="shared" si="0"/>
        <v>1</v>
      </c>
      <c r="U16" t="b">
        <f t="shared" si="0"/>
        <v>1</v>
      </c>
      <c r="V16" t="b">
        <f t="shared" si="0"/>
        <v>1</v>
      </c>
      <c r="W16" t="b">
        <f t="shared" si="0"/>
        <v>1</v>
      </c>
    </row>
    <row r="17" spans="6:13" x14ac:dyDescent="0.25">
      <c r="F17" t="s">
        <v>0</v>
      </c>
      <c r="G17">
        <v>16</v>
      </c>
      <c r="H17">
        <v>10.25</v>
      </c>
      <c r="I17">
        <v>28</v>
      </c>
    </row>
    <row r="18" spans="6:13" x14ac:dyDescent="0.25">
      <c r="F18" t="s">
        <v>1</v>
      </c>
      <c r="G18">
        <v>4</v>
      </c>
      <c r="H18">
        <v>0</v>
      </c>
      <c r="I18">
        <v>28</v>
      </c>
    </row>
    <row r="19" spans="6:13" x14ac:dyDescent="0.25">
      <c r="F19" t="s">
        <v>1</v>
      </c>
      <c r="G19">
        <v>8</v>
      </c>
      <c r="H19">
        <v>0</v>
      </c>
      <c r="I19">
        <v>28</v>
      </c>
    </row>
    <row r="20" spans="6:13" x14ac:dyDescent="0.25">
      <c r="F20" t="s">
        <v>0</v>
      </c>
      <c r="G20">
        <v>12</v>
      </c>
      <c r="H20">
        <v>0</v>
      </c>
      <c r="I20">
        <v>28</v>
      </c>
    </row>
    <row r="21" spans="6:13" x14ac:dyDescent="0.25">
      <c r="F21" t="s">
        <v>0</v>
      </c>
      <c r="G21">
        <v>16</v>
      </c>
      <c r="H21">
        <v>0</v>
      </c>
      <c r="I21">
        <v>28</v>
      </c>
    </row>
    <row r="22" spans="6:13" x14ac:dyDescent="0.25">
      <c r="F22" t="s">
        <v>1</v>
      </c>
      <c r="G22">
        <v>24</v>
      </c>
      <c r="H22">
        <v>10.25</v>
      </c>
      <c r="I22">
        <v>28</v>
      </c>
    </row>
    <row r="23" spans="6:13" x14ac:dyDescent="0.25">
      <c r="F23" t="s">
        <v>1</v>
      </c>
      <c r="G23">
        <v>28</v>
      </c>
      <c r="H23">
        <v>10.25</v>
      </c>
      <c r="I23">
        <v>28</v>
      </c>
      <c r="L23" t="str">
        <f>CONCATENATE(I23,I21)</f>
        <v>2828</v>
      </c>
    </row>
    <row r="24" spans="6:13" x14ac:dyDescent="0.25">
      <c r="F24" t="s">
        <v>0</v>
      </c>
      <c r="G24">
        <v>32</v>
      </c>
      <c r="H24">
        <v>10.25</v>
      </c>
      <c r="I24">
        <v>28</v>
      </c>
    </row>
    <row r="25" spans="6:13" x14ac:dyDescent="0.25">
      <c r="F25" t="s">
        <v>0</v>
      </c>
      <c r="G25">
        <v>36</v>
      </c>
      <c r="H25">
        <v>10.25</v>
      </c>
      <c r="I25">
        <v>28</v>
      </c>
    </row>
    <row r="26" spans="6:13" x14ac:dyDescent="0.25">
      <c r="F26" t="s">
        <v>1</v>
      </c>
      <c r="G26">
        <v>24</v>
      </c>
      <c r="H26">
        <v>0</v>
      </c>
      <c r="I26">
        <v>28</v>
      </c>
    </row>
    <row r="27" spans="6:13" x14ac:dyDescent="0.25">
      <c r="F27" t="s">
        <v>1</v>
      </c>
      <c r="G27">
        <v>28</v>
      </c>
      <c r="H27">
        <v>0</v>
      </c>
      <c r="I27">
        <v>28</v>
      </c>
      <c r="M27" t="str">
        <f>"C" &amp; 3</f>
        <v>C3</v>
      </c>
    </row>
    <row r="28" spans="6:13" x14ac:dyDescent="0.25">
      <c r="F28" t="s">
        <v>0</v>
      </c>
      <c r="G28">
        <v>32</v>
      </c>
      <c r="H28">
        <v>0</v>
      </c>
      <c r="I28">
        <v>28</v>
      </c>
    </row>
    <row r="29" spans="6:13" x14ac:dyDescent="0.25">
      <c r="F29" t="s">
        <v>0</v>
      </c>
      <c r="G29">
        <v>36</v>
      </c>
      <c r="H29">
        <v>0</v>
      </c>
      <c r="I29">
        <v>28</v>
      </c>
    </row>
    <row r="30" spans="6:13" x14ac:dyDescent="0.25">
      <c r="F30" t="s">
        <v>1</v>
      </c>
      <c r="G30">
        <v>44.1</v>
      </c>
      <c r="H30">
        <v>0</v>
      </c>
      <c r="I30">
        <v>28</v>
      </c>
    </row>
    <row r="31" spans="6:13" x14ac:dyDescent="0.25">
      <c r="F31" t="s">
        <v>1</v>
      </c>
      <c r="G31">
        <v>48.2</v>
      </c>
      <c r="H31">
        <v>0</v>
      </c>
      <c r="I31">
        <v>28</v>
      </c>
    </row>
    <row r="32" spans="6:13" x14ac:dyDescent="0.25">
      <c r="F32" t="s">
        <v>0</v>
      </c>
      <c r="G32">
        <v>52.3</v>
      </c>
      <c r="H32">
        <v>0</v>
      </c>
      <c r="I32">
        <v>28</v>
      </c>
    </row>
    <row r="33" spans="7:9" x14ac:dyDescent="0.25">
      <c r="G33">
        <v>56.4</v>
      </c>
      <c r="H33">
        <v>0</v>
      </c>
      <c r="I33">
        <v>28</v>
      </c>
    </row>
    <row r="34" spans="7:9" x14ac:dyDescent="0.25">
      <c r="G34">
        <v>44.1</v>
      </c>
      <c r="H34">
        <v>10.25</v>
      </c>
      <c r="I34">
        <v>28</v>
      </c>
    </row>
    <row r="35" spans="7:9" x14ac:dyDescent="0.25">
      <c r="G35">
        <v>48.2</v>
      </c>
      <c r="H35">
        <v>10.25</v>
      </c>
      <c r="I35">
        <v>28</v>
      </c>
    </row>
    <row r="36" spans="7:9" x14ac:dyDescent="0.25">
      <c r="G36">
        <v>52.3</v>
      </c>
      <c r="H36">
        <v>10.25</v>
      </c>
      <c r="I36">
        <v>28</v>
      </c>
    </row>
    <row r="37" spans="7:9" x14ac:dyDescent="0.25">
      <c r="G37">
        <v>56.4</v>
      </c>
      <c r="H37">
        <v>10.25</v>
      </c>
      <c r="I37">
        <v>28</v>
      </c>
    </row>
    <row r="38" spans="7:9" x14ac:dyDescent="0.25">
      <c r="G38">
        <v>0</v>
      </c>
      <c r="H38">
        <v>0</v>
      </c>
      <c r="I38">
        <v>0</v>
      </c>
    </row>
    <row r="39" spans="7:9" x14ac:dyDescent="0.25">
      <c r="G39">
        <v>40</v>
      </c>
      <c r="H39">
        <v>0</v>
      </c>
      <c r="I39">
        <v>0</v>
      </c>
    </row>
    <row r="40" spans="7:9" x14ac:dyDescent="0.25">
      <c r="G40">
        <v>20</v>
      </c>
      <c r="H40">
        <v>0</v>
      </c>
      <c r="I40">
        <v>0</v>
      </c>
    </row>
    <row r="41" spans="7:9" x14ac:dyDescent="0.25">
      <c r="G41">
        <v>60.5</v>
      </c>
      <c r="H41">
        <v>0</v>
      </c>
      <c r="I41">
        <v>0</v>
      </c>
    </row>
    <row r="42" spans="7:9" x14ac:dyDescent="0.25">
      <c r="G42">
        <v>0</v>
      </c>
      <c r="H42">
        <v>0</v>
      </c>
      <c r="I42">
        <v>0</v>
      </c>
    </row>
    <row r="43" spans="7:9" x14ac:dyDescent="0.25">
      <c r="G43">
        <v>0</v>
      </c>
      <c r="H43">
        <v>20.5</v>
      </c>
      <c r="I43">
        <v>0</v>
      </c>
    </row>
    <row r="44" spans="7:9" x14ac:dyDescent="0.25">
      <c r="G44">
        <v>20</v>
      </c>
      <c r="H44">
        <v>20.5</v>
      </c>
      <c r="I44">
        <v>0</v>
      </c>
    </row>
    <row r="45" spans="7:9" x14ac:dyDescent="0.25">
      <c r="G45">
        <v>40</v>
      </c>
      <c r="H45">
        <v>20.5</v>
      </c>
      <c r="I45">
        <v>0</v>
      </c>
    </row>
    <row r="46" spans="7:9" x14ac:dyDescent="0.25">
      <c r="G46">
        <v>20</v>
      </c>
      <c r="H46">
        <v>0</v>
      </c>
      <c r="I46">
        <v>0</v>
      </c>
    </row>
    <row r="47" spans="7:9" x14ac:dyDescent="0.25">
      <c r="G47">
        <v>40</v>
      </c>
      <c r="H47">
        <v>0</v>
      </c>
      <c r="I47">
        <v>0</v>
      </c>
    </row>
    <row r="48" spans="7:9" x14ac:dyDescent="0.25">
      <c r="G48">
        <v>0</v>
      </c>
      <c r="H48">
        <v>10.25</v>
      </c>
      <c r="I48">
        <v>0</v>
      </c>
    </row>
    <row r="49" spans="7:9" x14ac:dyDescent="0.25">
      <c r="G49">
        <v>20</v>
      </c>
      <c r="H49">
        <v>10.25</v>
      </c>
      <c r="I49">
        <v>0</v>
      </c>
    </row>
    <row r="50" spans="7:9" x14ac:dyDescent="0.25">
      <c r="G50">
        <v>40</v>
      </c>
      <c r="H50">
        <v>10.25</v>
      </c>
      <c r="I50">
        <v>0</v>
      </c>
    </row>
    <row r="51" spans="7:9" x14ac:dyDescent="0.25">
      <c r="G51">
        <v>4</v>
      </c>
      <c r="H51">
        <v>10.25</v>
      </c>
      <c r="I51">
        <v>0</v>
      </c>
    </row>
    <row r="52" spans="7:9" x14ac:dyDescent="0.25">
      <c r="G52">
        <v>8</v>
      </c>
      <c r="H52">
        <v>10.25</v>
      </c>
      <c r="I52">
        <v>0</v>
      </c>
    </row>
    <row r="53" spans="7:9" x14ac:dyDescent="0.25">
      <c r="G53">
        <v>12</v>
      </c>
      <c r="H53">
        <v>10.25</v>
      </c>
      <c r="I53">
        <v>0</v>
      </c>
    </row>
    <row r="54" spans="7:9" x14ac:dyDescent="0.25">
      <c r="G54">
        <v>16</v>
      </c>
      <c r="H54">
        <v>10.25</v>
      </c>
      <c r="I54">
        <v>0</v>
      </c>
    </row>
    <row r="55" spans="7:9" x14ac:dyDescent="0.25">
      <c r="G55">
        <v>4</v>
      </c>
      <c r="H55">
        <v>0</v>
      </c>
      <c r="I55">
        <v>0</v>
      </c>
    </row>
    <row r="56" spans="7:9" x14ac:dyDescent="0.25">
      <c r="G56">
        <v>8</v>
      </c>
      <c r="H56">
        <v>0</v>
      </c>
      <c r="I56">
        <v>0</v>
      </c>
    </row>
    <row r="57" spans="7:9" x14ac:dyDescent="0.25">
      <c r="G57">
        <v>12</v>
      </c>
      <c r="H57">
        <v>0</v>
      </c>
      <c r="I57">
        <v>0</v>
      </c>
    </row>
    <row r="58" spans="7:9" x14ac:dyDescent="0.25">
      <c r="G58">
        <v>16</v>
      </c>
      <c r="H58">
        <v>0</v>
      </c>
      <c r="I58">
        <v>0</v>
      </c>
    </row>
    <row r="59" spans="7:9" x14ac:dyDescent="0.25">
      <c r="G59">
        <v>24</v>
      </c>
      <c r="H59">
        <v>10.25</v>
      </c>
      <c r="I59">
        <v>0</v>
      </c>
    </row>
    <row r="60" spans="7:9" x14ac:dyDescent="0.25">
      <c r="G60">
        <v>28</v>
      </c>
      <c r="H60">
        <v>10.25</v>
      </c>
      <c r="I60">
        <v>0</v>
      </c>
    </row>
    <row r="61" spans="7:9" x14ac:dyDescent="0.25">
      <c r="G61">
        <v>32</v>
      </c>
      <c r="H61">
        <v>10.25</v>
      </c>
      <c r="I61">
        <v>0</v>
      </c>
    </row>
    <row r="62" spans="7:9" x14ac:dyDescent="0.25">
      <c r="G62">
        <v>36</v>
      </c>
      <c r="H62">
        <v>10.25</v>
      </c>
      <c r="I62">
        <v>0</v>
      </c>
    </row>
    <row r="63" spans="7:9" x14ac:dyDescent="0.25">
      <c r="G63">
        <v>24</v>
      </c>
      <c r="H63">
        <v>0</v>
      </c>
      <c r="I63">
        <v>0</v>
      </c>
    </row>
    <row r="64" spans="7:9" x14ac:dyDescent="0.25">
      <c r="G64">
        <v>28</v>
      </c>
      <c r="H64">
        <v>0</v>
      </c>
      <c r="I64">
        <v>0</v>
      </c>
    </row>
    <row r="65" spans="7:9" x14ac:dyDescent="0.25">
      <c r="G65">
        <v>32</v>
      </c>
      <c r="H65">
        <v>0</v>
      </c>
      <c r="I65">
        <v>0</v>
      </c>
    </row>
    <row r="66" spans="7:9" x14ac:dyDescent="0.25">
      <c r="G66">
        <v>36</v>
      </c>
      <c r="H66">
        <v>0</v>
      </c>
      <c r="I66">
        <v>0</v>
      </c>
    </row>
    <row r="67" spans="7:9" x14ac:dyDescent="0.25">
      <c r="G67">
        <v>44.1</v>
      </c>
      <c r="H67">
        <v>0</v>
      </c>
      <c r="I67">
        <v>0</v>
      </c>
    </row>
    <row r="68" spans="7:9" x14ac:dyDescent="0.25">
      <c r="G68">
        <v>48.2</v>
      </c>
      <c r="H68">
        <v>0</v>
      </c>
      <c r="I68">
        <v>0</v>
      </c>
    </row>
    <row r="69" spans="7:9" x14ac:dyDescent="0.25">
      <c r="G69">
        <v>52.3</v>
      </c>
      <c r="H69">
        <v>0</v>
      </c>
      <c r="I69">
        <v>0</v>
      </c>
    </row>
    <row r="70" spans="7:9" x14ac:dyDescent="0.25">
      <c r="G70">
        <v>56.4</v>
      </c>
      <c r="H70">
        <v>0</v>
      </c>
      <c r="I70">
        <v>0</v>
      </c>
    </row>
    <row r="71" spans="7:9" x14ac:dyDescent="0.25">
      <c r="G71">
        <v>44.1</v>
      </c>
      <c r="H71">
        <v>10.25</v>
      </c>
      <c r="I71">
        <v>0</v>
      </c>
    </row>
    <row r="72" spans="7:9" x14ac:dyDescent="0.25">
      <c r="G72">
        <v>48.2</v>
      </c>
      <c r="H72">
        <v>10.25</v>
      </c>
      <c r="I72">
        <v>0</v>
      </c>
    </row>
    <row r="73" spans="7:9" x14ac:dyDescent="0.25">
      <c r="G73">
        <v>52.3</v>
      </c>
      <c r="H73">
        <v>10.25</v>
      </c>
      <c r="I73">
        <v>0</v>
      </c>
    </row>
    <row r="74" spans="7:9" x14ac:dyDescent="0.25">
      <c r="G74">
        <v>56.4</v>
      </c>
      <c r="H74">
        <v>10.25</v>
      </c>
      <c r="I74">
        <v>0</v>
      </c>
    </row>
    <row r="75" spans="7:9" x14ac:dyDescent="0.25">
      <c r="G75">
        <v>0</v>
      </c>
      <c r="H75">
        <v>0</v>
      </c>
      <c r="I75">
        <v>14</v>
      </c>
    </row>
    <row r="76" spans="7:9" x14ac:dyDescent="0.25">
      <c r="G76">
        <v>40</v>
      </c>
      <c r="H76">
        <v>0</v>
      </c>
      <c r="I76">
        <v>14</v>
      </c>
    </row>
    <row r="77" spans="7:9" x14ac:dyDescent="0.25">
      <c r="G77">
        <v>20</v>
      </c>
      <c r="H77">
        <v>0</v>
      </c>
      <c r="I77">
        <v>14</v>
      </c>
    </row>
    <row r="78" spans="7:9" x14ac:dyDescent="0.25">
      <c r="G78">
        <v>60.5</v>
      </c>
      <c r="H78">
        <v>0</v>
      </c>
      <c r="I78">
        <v>14</v>
      </c>
    </row>
    <row r="79" spans="7:9" x14ac:dyDescent="0.25">
      <c r="G79">
        <v>0</v>
      </c>
      <c r="H79">
        <v>0</v>
      </c>
      <c r="I79">
        <v>14</v>
      </c>
    </row>
    <row r="80" spans="7:9" x14ac:dyDescent="0.25">
      <c r="G80">
        <v>0</v>
      </c>
      <c r="H80">
        <v>20.5</v>
      </c>
      <c r="I80">
        <v>14</v>
      </c>
    </row>
    <row r="81" spans="7:9" x14ac:dyDescent="0.25">
      <c r="G81">
        <v>20</v>
      </c>
      <c r="H81">
        <v>20.5</v>
      </c>
      <c r="I81">
        <v>14</v>
      </c>
    </row>
    <row r="82" spans="7:9" x14ac:dyDescent="0.25">
      <c r="G82">
        <v>40</v>
      </c>
      <c r="H82">
        <v>20.5</v>
      </c>
      <c r="I82">
        <v>14</v>
      </c>
    </row>
    <row r="83" spans="7:9" x14ac:dyDescent="0.25">
      <c r="G83">
        <v>20</v>
      </c>
      <c r="H83">
        <v>0</v>
      </c>
      <c r="I83">
        <v>14</v>
      </c>
    </row>
    <row r="84" spans="7:9" x14ac:dyDescent="0.25">
      <c r="G84">
        <v>40</v>
      </c>
      <c r="H84">
        <v>0</v>
      </c>
      <c r="I84">
        <v>14</v>
      </c>
    </row>
    <row r="85" spans="7:9" x14ac:dyDescent="0.25">
      <c r="G85">
        <v>0</v>
      </c>
      <c r="H85">
        <v>10.25</v>
      </c>
      <c r="I85">
        <v>14</v>
      </c>
    </row>
    <row r="86" spans="7:9" x14ac:dyDescent="0.25">
      <c r="G86">
        <v>20</v>
      </c>
      <c r="H86">
        <v>10.25</v>
      </c>
      <c r="I86">
        <v>14</v>
      </c>
    </row>
    <row r="87" spans="7:9" x14ac:dyDescent="0.25">
      <c r="G87">
        <v>40</v>
      </c>
      <c r="H87">
        <v>10.25</v>
      </c>
      <c r="I87">
        <v>14</v>
      </c>
    </row>
    <row r="88" spans="7:9" x14ac:dyDescent="0.25">
      <c r="G88">
        <v>4</v>
      </c>
      <c r="H88">
        <v>10.25</v>
      </c>
      <c r="I88">
        <v>14</v>
      </c>
    </row>
    <row r="89" spans="7:9" x14ac:dyDescent="0.25">
      <c r="G89">
        <v>8</v>
      </c>
      <c r="H89">
        <v>10.25</v>
      </c>
      <c r="I89">
        <v>14</v>
      </c>
    </row>
    <row r="90" spans="7:9" x14ac:dyDescent="0.25">
      <c r="G90">
        <v>12</v>
      </c>
      <c r="H90">
        <v>10.25</v>
      </c>
      <c r="I90">
        <v>14</v>
      </c>
    </row>
    <row r="91" spans="7:9" x14ac:dyDescent="0.25">
      <c r="G91">
        <v>16</v>
      </c>
      <c r="H91">
        <v>10.25</v>
      </c>
      <c r="I91">
        <v>14</v>
      </c>
    </row>
    <row r="92" spans="7:9" x14ac:dyDescent="0.25">
      <c r="G92">
        <v>4</v>
      </c>
      <c r="H92">
        <v>0</v>
      </c>
      <c r="I92">
        <v>14</v>
      </c>
    </row>
    <row r="93" spans="7:9" x14ac:dyDescent="0.25">
      <c r="G93">
        <v>8</v>
      </c>
      <c r="H93">
        <v>0</v>
      </c>
      <c r="I93">
        <v>14</v>
      </c>
    </row>
    <row r="94" spans="7:9" x14ac:dyDescent="0.25">
      <c r="G94">
        <v>12</v>
      </c>
      <c r="H94">
        <v>0</v>
      </c>
      <c r="I94">
        <v>14</v>
      </c>
    </row>
    <row r="95" spans="7:9" x14ac:dyDescent="0.25">
      <c r="G95">
        <v>16</v>
      </c>
      <c r="H95">
        <v>0</v>
      </c>
      <c r="I95">
        <v>14</v>
      </c>
    </row>
    <row r="96" spans="7:9" x14ac:dyDescent="0.25">
      <c r="G96">
        <v>24</v>
      </c>
      <c r="H96">
        <v>10.25</v>
      </c>
      <c r="I96">
        <v>14</v>
      </c>
    </row>
    <row r="97" spans="7:9" x14ac:dyDescent="0.25">
      <c r="G97">
        <v>28</v>
      </c>
      <c r="H97">
        <v>10.25</v>
      </c>
      <c r="I97">
        <v>14</v>
      </c>
    </row>
    <row r="98" spans="7:9" x14ac:dyDescent="0.25">
      <c r="G98">
        <v>32</v>
      </c>
      <c r="H98">
        <v>10.25</v>
      </c>
      <c r="I98">
        <v>14</v>
      </c>
    </row>
    <row r="99" spans="7:9" x14ac:dyDescent="0.25">
      <c r="G99">
        <v>36</v>
      </c>
      <c r="H99">
        <v>10.25</v>
      </c>
      <c r="I99">
        <v>14</v>
      </c>
    </row>
    <row r="100" spans="7:9" x14ac:dyDescent="0.25">
      <c r="G100">
        <v>24</v>
      </c>
      <c r="H100">
        <v>0</v>
      </c>
      <c r="I100">
        <v>14</v>
      </c>
    </row>
    <row r="101" spans="7:9" x14ac:dyDescent="0.25">
      <c r="G101">
        <v>28</v>
      </c>
      <c r="H101">
        <v>0</v>
      </c>
      <c r="I101">
        <v>14</v>
      </c>
    </row>
    <row r="102" spans="7:9" x14ac:dyDescent="0.25">
      <c r="G102">
        <v>32</v>
      </c>
      <c r="H102">
        <v>0</v>
      </c>
      <c r="I102">
        <v>14</v>
      </c>
    </row>
    <row r="103" spans="7:9" x14ac:dyDescent="0.25">
      <c r="G103">
        <v>36</v>
      </c>
      <c r="H103">
        <v>0</v>
      </c>
      <c r="I103">
        <v>14</v>
      </c>
    </row>
    <row r="104" spans="7:9" x14ac:dyDescent="0.25">
      <c r="G104">
        <v>44.1</v>
      </c>
      <c r="H104">
        <v>0</v>
      </c>
      <c r="I104">
        <v>14</v>
      </c>
    </row>
    <row r="105" spans="7:9" x14ac:dyDescent="0.25">
      <c r="G105">
        <v>48.2</v>
      </c>
      <c r="H105">
        <v>0</v>
      </c>
      <c r="I105">
        <v>14</v>
      </c>
    </row>
    <row r="106" spans="7:9" x14ac:dyDescent="0.25">
      <c r="G106">
        <v>52.3</v>
      </c>
      <c r="H106">
        <v>0</v>
      </c>
      <c r="I106">
        <v>14</v>
      </c>
    </row>
    <row r="107" spans="7:9" x14ac:dyDescent="0.25">
      <c r="G107">
        <v>56.4</v>
      </c>
      <c r="H107">
        <v>0</v>
      </c>
      <c r="I107">
        <v>14</v>
      </c>
    </row>
    <row r="108" spans="7:9" x14ac:dyDescent="0.25">
      <c r="G108">
        <v>44.1</v>
      </c>
      <c r="H108">
        <v>10.25</v>
      </c>
      <c r="I108">
        <v>14</v>
      </c>
    </row>
    <row r="109" spans="7:9" x14ac:dyDescent="0.25">
      <c r="G109">
        <v>48.2</v>
      </c>
      <c r="H109">
        <v>10.25</v>
      </c>
      <c r="I109">
        <v>14</v>
      </c>
    </row>
    <row r="110" spans="7:9" x14ac:dyDescent="0.25">
      <c r="G110">
        <v>52.3</v>
      </c>
      <c r="H110">
        <v>10.25</v>
      </c>
      <c r="I110">
        <v>14</v>
      </c>
    </row>
    <row r="111" spans="7:9" x14ac:dyDescent="0.25">
      <c r="G111">
        <v>56.4</v>
      </c>
      <c r="H111">
        <v>10.25</v>
      </c>
      <c r="I111">
        <v>14</v>
      </c>
    </row>
    <row r="112" spans="7:9" x14ac:dyDescent="0.25">
      <c r="G112">
        <v>0</v>
      </c>
      <c r="H112">
        <v>0</v>
      </c>
      <c r="I112">
        <v>42</v>
      </c>
    </row>
    <row r="113" spans="7:9" x14ac:dyDescent="0.25">
      <c r="G113">
        <v>40</v>
      </c>
      <c r="H113">
        <v>0</v>
      </c>
      <c r="I113">
        <v>42</v>
      </c>
    </row>
    <row r="114" spans="7:9" x14ac:dyDescent="0.25">
      <c r="G114">
        <v>20</v>
      </c>
      <c r="H114">
        <v>0</v>
      </c>
      <c r="I114">
        <v>42</v>
      </c>
    </row>
    <row r="115" spans="7:9" x14ac:dyDescent="0.25">
      <c r="G115">
        <v>60.5</v>
      </c>
      <c r="H115">
        <v>0</v>
      </c>
      <c r="I115">
        <v>42</v>
      </c>
    </row>
    <row r="116" spans="7:9" x14ac:dyDescent="0.25">
      <c r="G116">
        <v>0</v>
      </c>
      <c r="H116">
        <v>0</v>
      </c>
      <c r="I116">
        <v>42</v>
      </c>
    </row>
    <row r="117" spans="7:9" x14ac:dyDescent="0.25">
      <c r="G117">
        <v>0</v>
      </c>
      <c r="H117">
        <v>20.5</v>
      </c>
      <c r="I117">
        <v>42</v>
      </c>
    </row>
    <row r="118" spans="7:9" x14ac:dyDescent="0.25">
      <c r="G118">
        <v>20</v>
      </c>
      <c r="H118">
        <v>20.5</v>
      </c>
      <c r="I118">
        <v>42</v>
      </c>
    </row>
    <row r="119" spans="7:9" x14ac:dyDescent="0.25">
      <c r="G119">
        <v>40</v>
      </c>
      <c r="H119">
        <v>20.5</v>
      </c>
      <c r="I119">
        <v>42</v>
      </c>
    </row>
    <row r="120" spans="7:9" x14ac:dyDescent="0.25">
      <c r="G120">
        <v>20</v>
      </c>
      <c r="H120">
        <v>0</v>
      </c>
      <c r="I120">
        <v>42</v>
      </c>
    </row>
    <row r="121" spans="7:9" x14ac:dyDescent="0.25">
      <c r="G121">
        <v>40</v>
      </c>
      <c r="H121">
        <v>0</v>
      </c>
      <c r="I121">
        <v>42</v>
      </c>
    </row>
    <row r="122" spans="7:9" x14ac:dyDescent="0.25">
      <c r="G122">
        <v>0</v>
      </c>
      <c r="H122">
        <v>10.25</v>
      </c>
      <c r="I122">
        <v>42</v>
      </c>
    </row>
    <row r="123" spans="7:9" x14ac:dyDescent="0.25">
      <c r="G123">
        <v>20</v>
      </c>
      <c r="H123">
        <v>10.25</v>
      </c>
      <c r="I123">
        <v>42</v>
      </c>
    </row>
    <row r="124" spans="7:9" x14ac:dyDescent="0.25">
      <c r="G124">
        <v>40</v>
      </c>
      <c r="H124">
        <v>10.25</v>
      </c>
      <c r="I124">
        <v>42</v>
      </c>
    </row>
    <row r="125" spans="7:9" x14ac:dyDescent="0.25">
      <c r="G125">
        <v>4</v>
      </c>
      <c r="H125">
        <v>10.25</v>
      </c>
      <c r="I125">
        <v>42</v>
      </c>
    </row>
    <row r="126" spans="7:9" x14ac:dyDescent="0.25">
      <c r="G126">
        <v>8</v>
      </c>
      <c r="H126">
        <v>10.25</v>
      </c>
      <c r="I126">
        <v>42</v>
      </c>
    </row>
    <row r="127" spans="7:9" x14ac:dyDescent="0.25">
      <c r="G127">
        <v>12</v>
      </c>
      <c r="H127">
        <v>10.25</v>
      </c>
      <c r="I127">
        <v>42</v>
      </c>
    </row>
    <row r="128" spans="7:9" x14ac:dyDescent="0.25">
      <c r="G128">
        <v>16</v>
      </c>
      <c r="H128">
        <v>10.25</v>
      </c>
      <c r="I128">
        <v>42</v>
      </c>
    </row>
    <row r="129" spans="7:9" x14ac:dyDescent="0.25">
      <c r="G129">
        <v>4</v>
      </c>
      <c r="H129">
        <v>0</v>
      </c>
      <c r="I129">
        <v>42</v>
      </c>
    </row>
    <row r="130" spans="7:9" x14ac:dyDescent="0.25">
      <c r="G130">
        <v>8</v>
      </c>
      <c r="H130">
        <v>0</v>
      </c>
      <c r="I130">
        <v>42</v>
      </c>
    </row>
    <row r="131" spans="7:9" x14ac:dyDescent="0.25">
      <c r="G131">
        <v>12</v>
      </c>
      <c r="H131">
        <v>0</v>
      </c>
      <c r="I131">
        <v>42</v>
      </c>
    </row>
    <row r="132" spans="7:9" x14ac:dyDescent="0.25">
      <c r="G132">
        <v>16</v>
      </c>
      <c r="H132">
        <v>0</v>
      </c>
      <c r="I132">
        <v>42</v>
      </c>
    </row>
    <row r="133" spans="7:9" x14ac:dyDescent="0.25">
      <c r="G133">
        <v>24</v>
      </c>
      <c r="H133">
        <v>10.25</v>
      </c>
      <c r="I133">
        <v>42</v>
      </c>
    </row>
    <row r="134" spans="7:9" x14ac:dyDescent="0.25">
      <c r="G134">
        <v>28</v>
      </c>
      <c r="H134">
        <v>10.25</v>
      </c>
      <c r="I134">
        <v>42</v>
      </c>
    </row>
    <row r="135" spans="7:9" x14ac:dyDescent="0.25">
      <c r="G135">
        <v>32</v>
      </c>
      <c r="H135">
        <v>10.25</v>
      </c>
      <c r="I135">
        <v>42</v>
      </c>
    </row>
    <row r="136" spans="7:9" x14ac:dyDescent="0.25">
      <c r="G136">
        <v>36</v>
      </c>
      <c r="H136">
        <v>10.25</v>
      </c>
      <c r="I136">
        <v>42</v>
      </c>
    </row>
    <row r="137" spans="7:9" x14ac:dyDescent="0.25">
      <c r="G137">
        <v>24</v>
      </c>
      <c r="H137">
        <v>0</v>
      </c>
      <c r="I137">
        <v>42</v>
      </c>
    </row>
    <row r="138" spans="7:9" x14ac:dyDescent="0.25">
      <c r="G138">
        <v>28</v>
      </c>
      <c r="H138">
        <v>0</v>
      </c>
      <c r="I138">
        <v>42</v>
      </c>
    </row>
    <row r="139" spans="7:9" x14ac:dyDescent="0.25">
      <c r="G139">
        <v>32</v>
      </c>
      <c r="H139">
        <v>0</v>
      </c>
      <c r="I139">
        <v>42</v>
      </c>
    </row>
    <row r="140" spans="7:9" x14ac:dyDescent="0.25">
      <c r="G140">
        <v>36</v>
      </c>
      <c r="H140">
        <v>0</v>
      </c>
      <c r="I140">
        <v>42</v>
      </c>
    </row>
    <row r="141" spans="7:9" x14ac:dyDescent="0.25">
      <c r="G141">
        <v>44.1</v>
      </c>
      <c r="H141">
        <v>0</v>
      </c>
      <c r="I141">
        <v>42</v>
      </c>
    </row>
    <row r="142" spans="7:9" x14ac:dyDescent="0.25">
      <c r="G142">
        <v>48.2</v>
      </c>
      <c r="H142">
        <v>0</v>
      </c>
      <c r="I142">
        <v>42</v>
      </c>
    </row>
    <row r="143" spans="7:9" x14ac:dyDescent="0.25">
      <c r="G143">
        <v>52.3</v>
      </c>
      <c r="H143">
        <v>0</v>
      </c>
      <c r="I143">
        <v>42</v>
      </c>
    </row>
    <row r="144" spans="7:9" x14ac:dyDescent="0.25">
      <c r="G144">
        <v>56.4</v>
      </c>
      <c r="H144">
        <v>0</v>
      </c>
      <c r="I144">
        <v>42</v>
      </c>
    </row>
    <row r="145" spans="7:9" x14ac:dyDescent="0.25">
      <c r="G145">
        <v>44.1</v>
      </c>
      <c r="H145">
        <v>10.25</v>
      </c>
      <c r="I145">
        <v>42</v>
      </c>
    </row>
    <row r="146" spans="7:9" x14ac:dyDescent="0.25">
      <c r="G146">
        <v>48.2</v>
      </c>
      <c r="H146">
        <v>10.25</v>
      </c>
      <c r="I146">
        <v>42</v>
      </c>
    </row>
    <row r="147" spans="7:9" x14ac:dyDescent="0.25">
      <c r="G147">
        <v>52.3</v>
      </c>
      <c r="H147">
        <v>10.25</v>
      </c>
      <c r="I147">
        <v>42</v>
      </c>
    </row>
    <row r="148" spans="7:9" x14ac:dyDescent="0.25">
      <c r="G148">
        <v>56.4</v>
      </c>
      <c r="H148">
        <v>10.25</v>
      </c>
      <c r="I148">
        <v>42</v>
      </c>
    </row>
    <row r="149" spans="7:9" x14ac:dyDescent="0.25">
      <c r="G149">
        <v>20</v>
      </c>
      <c r="H149">
        <v>20.5</v>
      </c>
      <c r="I149">
        <v>0</v>
      </c>
    </row>
    <row r="150" spans="7:9" x14ac:dyDescent="0.25">
      <c r="G150">
        <v>20</v>
      </c>
      <c r="H150">
        <v>0</v>
      </c>
      <c r="I150">
        <v>0</v>
      </c>
    </row>
    <row r="151" spans="7:9" x14ac:dyDescent="0.25">
      <c r="G151">
        <v>44.1</v>
      </c>
      <c r="H151">
        <v>0</v>
      </c>
      <c r="I151">
        <v>0</v>
      </c>
    </row>
    <row r="152" spans="7:9" x14ac:dyDescent="0.25">
      <c r="G152">
        <v>48.2</v>
      </c>
      <c r="H152">
        <v>0</v>
      </c>
      <c r="I152">
        <v>0</v>
      </c>
    </row>
    <row r="153" spans="7:9" x14ac:dyDescent="0.25">
      <c r="G153">
        <v>52.3</v>
      </c>
      <c r="H153">
        <v>0</v>
      </c>
      <c r="I153">
        <v>0</v>
      </c>
    </row>
    <row r="154" spans="7:9" x14ac:dyDescent="0.25">
      <c r="G154">
        <v>44.1</v>
      </c>
      <c r="H154">
        <v>0</v>
      </c>
      <c r="I154">
        <v>28</v>
      </c>
    </row>
    <row r="155" spans="7:9" x14ac:dyDescent="0.25">
      <c r="G155">
        <v>48.2</v>
      </c>
      <c r="H155">
        <v>0</v>
      </c>
      <c r="I155">
        <v>28</v>
      </c>
    </row>
    <row r="156" spans="7:9" x14ac:dyDescent="0.25">
      <c r="G156">
        <v>52.3</v>
      </c>
      <c r="H156">
        <v>0</v>
      </c>
      <c r="I156">
        <v>28</v>
      </c>
    </row>
    <row r="157" spans="7:9" x14ac:dyDescent="0.25">
      <c r="G157">
        <v>44.1</v>
      </c>
      <c r="H157">
        <v>0</v>
      </c>
      <c r="I157">
        <v>42</v>
      </c>
    </row>
    <row r="158" spans="7:9" x14ac:dyDescent="0.25">
      <c r="G158">
        <v>48.2</v>
      </c>
      <c r="H158">
        <v>0</v>
      </c>
      <c r="I158">
        <v>42</v>
      </c>
    </row>
    <row r="159" spans="7:9" x14ac:dyDescent="0.25">
      <c r="G159">
        <v>52.3</v>
      </c>
      <c r="H159">
        <v>0</v>
      </c>
      <c r="I159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041F-EB97-47D3-91B0-59E530F00A95}">
  <sheetPr codeName="Sheet7"/>
  <dimension ref="C4:C7"/>
  <sheetViews>
    <sheetView workbookViewId="0">
      <selection activeCell="C8" sqref="C8"/>
    </sheetView>
  </sheetViews>
  <sheetFormatPr defaultRowHeight="15" x14ac:dyDescent="0.25"/>
  <sheetData>
    <row r="4" spans="3:3" x14ac:dyDescent="0.25">
      <c r="C4" t="s">
        <v>44</v>
      </c>
    </row>
    <row r="5" spans="3:3" x14ac:dyDescent="0.25">
      <c r="C5" t="s">
        <v>45</v>
      </c>
    </row>
    <row r="6" spans="3:3" x14ac:dyDescent="0.25">
      <c r="C6" t="s">
        <v>47</v>
      </c>
    </row>
    <row r="7" spans="3:3" x14ac:dyDescent="0.25">
      <c r="C7" t="s">
        <v>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B556-3BFA-4A1D-86BB-D5E5D8876180}">
  <sheetPr codeName="Sheet8"/>
  <dimension ref="C2:D5"/>
  <sheetViews>
    <sheetView workbookViewId="0">
      <selection activeCell="I13" sqref="I13"/>
    </sheetView>
  </sheetViews>
  <sheetFormatPr defaultRowHeight="15" x14ac:dyDescent="0.25"/>
  <sheetData>
    <row r="2" spans="3:4" x14ac:dyDescent="0.25">
      <c r="C2" t="s">
        <v>51</v>
      </c>
    </row>
    <row r="4" spans="3:4" x14ac:dyDescent="0.25">
      <c r="C4" t="s">
        <v>52</v>
      </c>
    </row>
    <row r="5" spans="3:4" x14ac:dyDescent="0.25">
      <c r="D5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column</vt:lpstr>
      <vt:lpstr>beam</vt:lpstr>
      <vt:lpstr>brace</vt:lpstr>
      <vt:lpstr>diaphragm</vt:lpstr>
      <vt:lpstr>lineLoad</vt:lpstr>
      <vt:lpstr>Execute</vt:lpstr>
      <vt:lpstr>test</vt:lpstr>
      <vt:lpstr>to-do</vt:lpstr>
      <vt:lpstr>Unresolved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Leon, Seij</dc:creator>
  <cp:lastModifiedBy>Vigil, Rob</cp:lastModifiedBy>
  <dcterms:created xsi:type="dcterms:W3CDTF">2019-07-16T23:47:30Z</dcterms:created>
  <dcterms:modified xsi:type="dcterms:W3CDTF">2019-09-06T19:56:57Z</dcterms:modified>
</cp:coreProperties>
</file>